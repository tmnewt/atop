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imot\OneDrive\Kelley\Spring Session 1\F541\Class 13\"/>
    </mc:Choice>
  </mc:AlternateContent>
  <xr:revisionPtr revIDLastSave="12" documentId="11_ACCD62A91A38849F87F60313313B68C43618064B" xr6:coauthVersionLast="45" xr6:coauthVersionMax="45" xr10:uidLastSave="{F2F8B99E-C833-4B9B-9F94-4752088DB76B}"/>
  <bookViews>
    <workbookView xWindow="1830" yWindow="60" windowWidth="21285" windowHeight="15225" activeTab="1" xr2:uid="{00000000-000D-0000-FFFF-FFFF00000000}"/>
  </bookViews>
  <sheets>
    <sheet name="Black-Scholes Option Pricing" sheetId="1" r:id="rId1"/>
    <sheet name="Hidden" sheetId="2" r:id="rId2"/>
    <sheet name="Sheet3" sheetId="3" r:id="rId3"/>
  </sheets>
  <functionGroups builtInGroupCount="19"/>
  <definedNames>
    <definedName name="ctrl_OptionSelectionNumber">Hidden!$A$6</definedName>
    <definedName name="inputs_OptionSelection">'Black-Scholes Option Pricing'!$B$2</definedName>
    <definedName name="list_OptionSelection">Hidden!$A$2:$A$3</definedName>
  </definedNames>
  <calcPr calcId="191029"/>
  <extLst>
    <ext xmlns:x14="http://schemas.microsoft.com/office/spreadsheetml/2009/9/main" uri="{8193D73E-4604-4355-AFF4-8A2333D13BE4}">
      <x14:definedNames>
        <x14:definedName name="BSCall">
          <x14:argumentDescriptions count="6">
            <x14:argumentDescription index="0">The current value of the underlying asset.</x14:argumentDescription>
            <x14:argumentDescription index="1">The annual volatility of the underlying asset.</x14:argumentDescription>
            <x14:argumentDescription index="2">The annual dividend yield on the underlying asset.</x14:argumentDescription>
            <x14:argumentDescription index="3">The annual continuously-compounded risk-free rate.</x14:argumentDescription>
            <x14:argumentDescription index="4">The strike price on the option.</x14:argumentDescription>
            <x14:argumentDescription index="5">The time to maturity (in years) of the option.</x14:argumentDescription>
          </x14:argumentDescriptions>
        </x14:definedName>
        <x14:definedName name="BSCallDelta">
          <x14:argumentDescriptions count="6">
            <x14:argumentDescription index="0">The current value of the underlying asset.</x14:argumentDescription>
            <x14:argumentDescription index="1">The annual volatility of the underlying asset.</x14:argumentDescription>
            <x14:argumentDescription index="2">The annual dividend yield on the underlying asset.</x14:argumentDescription>
            <x14:argumentDescription index="3">The annual continuously-compounded risk-free rate.</x14:argumentDescription>
            <x14:argumentDescription index="4">The strike price on the option.</x14:argumentDescription>
            <x14:argumentDescription index="5">The time to maturity (in years) of the option.</x14:argumentDescription>
          </x14:argumentDescriptions>
        </x14:definedName>
        <x14:definedName name="BSGamma">
          <x14:argumentDescriptions count="6">
            <x14:argumentDescription index="0">The current value of the underlying asset.</x14:argumentDescription>
            <x14:argumentDescription index="1">The annual volatility of the underlying asset.</x14:argumentDescription>
            <x14:argumentDescription index="2">The annual dividend yield on the underlying asset.</x14:argumentDescription>
            <x14:argumentDescription index="3">The annual continuously-compounded risk-free rate.</x14:argumentDescription>
            <x14:argumentDescription index="4">The strike price on the option.</x14:argumentDescription>
            <x14:argumentDescription index="5">The time to maturity (in years) of the option.</x14:argumentDescription>
          </x14:argumentDescriptions>
        </x14:definedName>
        <x14:definedName name="BSPut">
          <x14:argumentDescriptions count="6">
            <x14:argumentDescription index="0">The current value of the underlying asset.</x14:argumentDescription>
            <x14:argumentDescription index="1">The annual volatility of the underlying asset.</x14:argumentDescription>
            <x14:argumentDescription index="2">The annual dividend yield on the underlying asset.</x14:argumentDescription>
            <x14:argumentDescription index="3">The annual continuously-compounded risk-free rate.</x14:argumentDescription>
            <x14:argumentDescription index="4">The strike price on the option.</x14:argumentDescription>
            <x14:argumentDescription index="5">The time to maturity (in years) of the option.</x14:argumentDescription>
          </x14:argumentDescriptions>
        </x14:definedName>
        <x14:definedName name="BSPutDelta">
          <x14:argumentDescriptions count="6">
            <x14:argumentDescription index="0">The current value of the underlying asset.</x14:argumentDescription>
            <x14:argumentDescription index="1">The annual volatility of the underlying asset.</x14:argumentDescription>
            <x14:argumentDescription index="2">The annual dividend yield on the underlying asset.</x14:argumentDescription>
            <x14:argumentDescription index="3">The annual continuously-compounded risk-free rate.</x14:argumentDescription>
            <x14:argumentDescription index="4">The strike price on the option.</x14:argumentDescription>
            <x14:argumentDescription index="5">The time to maturity (in years) of the option.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2" l="1"/>
  <c r="AO31" i="1" l="1"/>
  <c r="AJ31" i="1"/>
  <c r="X31" i="1"/>
  <c r="L31" i="1"/>
  <c r="D31" i="1"/>
  <c r="AG30" i="1"/>
  <c r="U30" i="1"/>
  <c r="M30" i="1"/>
  <c r="AP29" i="1"/>
  <c r="AD29" i="1"/>
  <c r="R29" i="1"/>
  <c r="AM31" i="1"/>
  <c r="AE31" i="1"/>
  <c r="S31" i="1"/>
  <c r="K31" i="1"/>
  <c r="C31" i="1"/>
  <c r="AJ30" i="1"/>
  <c r="AB30" i="1"/>
  <c r="T30" i="1"/>
  <c r="H30" i="1"/>
  <c r="AO29" i="1"/>
  <c r="AC29" i="1"/>
  <c r="U29" i="1"/>
  <c r="I29" i="1"/>
  <c r="AF31" i="1"/>
  <c r="T31" i="1"/>
  <c r="H31" i="1"/>
  <c r="AO30" i="1"/>
  <c r="AC30" i="1"/>
  <c r="Q30" i="1"/>
  <c r="I30" i="1"/>
  <c r="AL29" i="1"/>
  <c r="Z29" i="1"/>
  <c r="N29" i="1"/>
  <c r="AQ31" i="1"/>
  <c r="AI31" i="1"/>
  <c r="AA31" i="1"/>
  <c r="W31" i="1"/>
  <c r="O31" i="1"/>
  <c r="G31" i="1"/>
  <c r="AN30" i="1"/>
  <c r="AF30" i="1"/>
  <c r="X30" i="1"/>
  <c r="P30" i="1"/>
  <c r="L30" i="1"/>
  <c r="D30" i="1"/>
  <c r="AK29" i="1"/>
  <c r="AG29" i="1"/>
  <c r="Y29" i="1"/>
  <c r="Q29" i="1"/>
  <c r="M29" i="1"/>
  <c r="E29" i="1"/>
  <c r="AP31" i="1"/>
  <c r="AL31" i="1"/>
  <c r="AH31" i="1"/>
  <c r="AD31" i="1"/>
  <c r="Z31" i="1"/>
  <c r="V31" i="1"/>
  <c r="R31" i="1"/>
  <c r="N31" i="1"/>
  <c r="J31" i="1"/>
  <c r="F31" i="1"/>
  <c r="AQ30" i="1"/>
  <c r="AM30" i="1"/>
  <c r="AI30" i="1"/>
  <c r="AE30" i="1"/>
  <c r="AA30" i="1"/>
  <c r="W30" i="1"/>
  <c r="S30" i="1"/>
  <c r="O30" i="1"/>
  <c r="K30" i="1"/>
  <c r="G30" i="1"/>
  <c r="C30" i="1"/>
  <c r="AN29" i="1"/>
  <c r="AJ29" i="1"/>
  <c r="AF29" i="1"/>
  <c r="AB29" i="1"/>
  <c r="X29" i="1"/>
  <c r="T29" i="1"/>
  <c r="P29" i="1"/>
  <c r="L29" i="1"/>
  <c r="H29" i="1"/>
  <c r="D29" i="1"/>
  <c r="AK31" i="1"/>
  <c r="AG31" i="1"/>
  <c r="AC31" i="1"/>
  <c r="Y31" i="1"/>
  <c r="U31" i="1"/>
  <c r="Q31" i="1"/>
  <c r="M31" i="1"/>
  <c r="I31" i="1"/>
  <c r="E31" i="1"/>
  <c r="AP30" i="1"/>
  <c r="AL30" i="1"/>
  <c r="AH30" i="1"/>
  <c r="AD30" i="1"/>
  <c r="Z30" i="1"/>
  <c r="V30" i="1"/>
  <c r="R30" i="1"/>
  <c r="N30" i="1"/>
  <c r="J30" i="1"/>
  <c r="F30" i="1"/>
  <c r="AQ29" i="1"/>
  <c r="AM29" i="1"/>
  <c r="AI29" i="1"/>
  <c r="AE29" i="1"/>
  <c r="AA29" i="1"/>
  <c r="W29" i="1"/>
  <c r="S29" i="1"/>
  <c r="O29" i="1"/>
  <c r="K29" i="1"/>
  <c r="G29" i="1"/>
  <c r="C29" i="1"/>
  <c r="AN31" i="1"/>
  <c r="AB31" i="1"/>
  <c r="P31" i="1"/>
  <c r="AK30" i="1"/>
  <c r="Y30" i="1"/>
  <c r="E30" i="1"/>
  <c r="AH29" i="1"/>
  <c r="V29" i="1"/>
  <c r="J29" i="1"/>
  <c r="F29" i="1"/>
  <c r="D28" i="1"/>
  <c r="E28" i="1" s="1"/>
  <c r="F28" i="1" s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AJ28" i="1" s="1"/>
  <c r="AK28" i="1" s="1"/>
  <c r="AL28" i="1" s="1"/>
  <c r="AM28" i="1" s="1"/>
  <c r="AN28" i="1" s="1"/>
  <c r="AO28" i="1" s="1"/>
  <c r="AP28" i="1" s="1"/>
  <c r="AQ28" i="1" s="1"/>
  <c r="B47" i="1"/>
  <c r="B71" i="1" l="1"/>
  <c r="B67" i="1"/>
  <c r="D69" i="1" s="1"/>
  <c r="B65" i="1"/>
  <c r="C64" i="1"/>
  <c r="D60" i="1"/>
  <c r="E60" i="1" s="1"/>
  <c r="B55" i="1"/>
  <c r="B39" i="1" s="1"/>
  <c r="B49" i="1"/>
  <c r="C48" i="1"/>
  <c r="C32" i="1" s="1"/>
  <c r="B51" i="1"/>
  <c r="D44" i="1"/>
  <c r="D48" i="1" s="1"/>
  <c r="D32" i="1" s="1"/>
  <c r="B46" i="1"/>
  <c r="B62" i="1"/>
  <c r="B52" i="1"/>
  <c r="B63" i="1"/>
  <c r="B61" i="1"/>
  <c r="B72" i="1"/>
  <c r="B50" i="1"/>
  <c r="B66" i="1"/>
  <c r="B68" i="1"/>
  <c r="B45" i="1"/>
  <c r="B56" i="1"/>
  <c r="B33" i="1" l="1"/>
  <c r="B40" i="1"/>
  <c r="B14" i="1" s="1"/>
  <c r="B34" i="1"/>
  <c r="B12" i="1" s="1"/>
  <c r="B36" i="1"/>
  <c r="B13" i="1" s="1"/>
  <c r="D53" i="1"/>
  <c r="E53" i="1" s="1"/>
  <c r="B35" i="1"/>
  <c r="B31" i="1"/>
  <c r="B30" i="1"/>
  <c r="B29" i="1"/>
  <c r="D64" i="1"/>
  <c r="E44" i="1"/>
  <c r="F44" i="1" s="1"/>
  <c r="F60" i="1"/>
  <c r="F64" i="1" s="1"/>
  <c r="E64" i="1"/>
  <c r="D70" i="1"/>
  <c r="E69" i="1"/>
  <c r="C69" i="1"/>
  <c r="F69" i="1"/>
  <c r="B69" i="1"/>
  <c r="D54" i="1"/>
  <c r="E48" i="1" l="1"/>
  <c r="E32" i="1" s="1"/>
  <c r="D38" i="1"/>
  <c r="E37" i="1"/>
  <c r="C53" i="1"/>
  <c r="C37" i="1" s="1"/>
  <c r="D37" i="1"/>
  <c r="F53" i="1"/>
  <c r="F37" i="1" s="1"/>
  <c r="B53" i="1"/>
  <c r="B37" i="1" s="1"/>
  <c r="G60" i="1"/>
  <c r="G64" i="1" s="1"/>
  <c r="G44" i="1"/>
  <c r="F48" i="1"/>
  <c r="F32" i="1" s="1"/>
  <c r="E70" i="1"/>
  <c r="F70" i="1" s="1"/>
  <c r="C70" i="1"/>
  <c r="B70" i="1" s="1"/>
  <c r="E54" i="1"/>
  <c r="H60" i="1" l="1"/>
  <c r="H64" i="1" s="1"/>
  <c r="E38" i="1"/>
  <c r="C54" i="1"/>
  <c r="C38" i="1" s="1"/>
  <c r="F54" i="1"/>
  <c r="F38" i="1" s="1"/>
  <c r="H44" i="1"/>
  <c r="G48" i="1"/>
  <c r="G32" i="1" s="1"/>
  <c r="I60" i="1"/>
  <c r="I64" i="1" s="1"/>
  <c r="B54" i="1" l="1"/>
  <c r="B38" i="1" s="1"/>
  <c r="I44" i="1"/>
  <c r="H48" i="1"/>
  <c r="H32" i="1" s="1"/>
  <c r="J60" i="1"/>
  <c r="J64" i="1" s="1"/>
  <c r="J44" i="1" l="1"/>
  <c r="I48" i="1"/>
  <c r="I32" i="1" s="1"/>
  <c r="K60" i="1"/>
  <c r="K64" i="1" s="1"/>
  <c r="K44" i="1" l="1"/>
  <c r="J48" i="1"/>
  <c r="J32" i="1" s="1"/>
  <c r="L60" i="1"/>
  <c r="L64" i="1" s="1"/>
  <c r="L44" i="1" l="1"/>
  <c r="K48" i="1"/>
  <c r="K32" i="1" s="1"/>
  <c r="M60" i="1"/>
  <c r="M64" i="1" s="1"/>
  <c r="M44" i="1" l="1"/>
  <c r="L48" i="1"/>
  <c r="L32" i="1" s="1"/>
  <c r="N60" i="1"/>
  <c r="N64" i="1" s="1"/>
  <c r="N44" i="1" l="1"/>
  <c r="M48" i="1"/>
  <c r="M32" i="1" s="1"/>
  <c r="O60" i="1"/>
  <c r="O64" i="1" s="1"/>
  <c r="O44" i="1" l="1"/>
  <c r="N48" i="1"/>
  <c r="N32" i="1" s="1"/>
  <c r="P60" i="1"/>
  <c r="P64" i="1" s="1"/>
  <c r="P44" i="1" l="1"/>
  <c r="O48" i="1"/>
  <c r="O32" i="1" s="1"/>
  <c r="Q60" i="1"/>
  <c r="Q64" i="1" s="1"/>
  <c r="Q44" i="1" l="1"/>
  <c r="P48" i="1"/>
  <c r="P32" i="1" s="1"/>
  <c r="R60" i="1"/>
  <c r="R64" i="1" s="1"/>
  <c r="R44" i="1" l="1"/>
  <c r="Q48" i="1"/>
  <c r="Q32" i="1" s="1"/>
  <c r="S60" i="1"/>
  <c r="S64" i="1" s="1"/>
  <c r="S44" i="1" l="1"/>
  <c r="R48" i="1"/>
  <c r="R32" i="1" s="1"/>
  <c r="T60" i="1"/>
  <c r="T64" i="1" s="1"/>
  <c r="T44" i="1" l="1"/>
  <c r="S48" i="1"/>
  <c r="S32" i="1" s="1"/>
  <c r="U60" i="1"/>
  <c r="U64" i="1" s="1"/>
  <c r="U44" i="1" l="1"/>
  <c r="T48" i="1"/>
  <c r="T32" i="1" s="1"/>
  <c r="V60" i="1"/>
  <c r="V64" i="1" s="1"/>
  <c r="V44" i="1" l="1"/>
  <c r="U48" i="1"/>
  <c r="U32" i="1" s="1"/>
  <c r="W60" i="1"/>
  <c r="W64" i="1" s="1"/>
  <c r="W44" i="1" l="1"/>
  <c r="V48" i="1"/>
  <c r="V32" i="1" s="1"/>
  <c r="X60" i="1"/>
  <c r="X64" i="1" s="1"/>
  <c r="X44" i="1" l="1"/>
  <c r="W48" i="1"/>
  <c r="W32" i="1" s="1"/>
  <c r="Y60" i="1"/>
  <c r="Y64" i="1" s="1"/>
  <c r="Y44" i="1" l="1"/>
  <c r="X48" i="1"/>
  <c r="X32" i="1" s="1"/>
  <c r="Z60" i="1"/>
  <c r="Z64" i="1" s="1"/>
  <c r="Z44" i="1" l="1"/>
  <c r="Y48" i="1"/>
  <c r="Y32" i="1" s="1"/>
  <c r="AA60" i="1"/>
  <c r="AA64" i="1" s="1"/>
  <c r="AA44" i="1" l="1"/>
  <c r="Z48" i="1"/>
  <c r="Z32" i="1" s="1"/>
  <c r="AB60" i="1"/>
  <c r="AB64" i="1" s="1"/>
  <c r="AB44" i="1" l="1"/>
  <c r="AA48" i="1"/>
  <c r="AA32" i="1" s="1"/>
  <c r="AC60" i="1"/>
  <c r="AC64" i="1" s="1"/>
  <c r="AC44" i="1" l="1"/>
  <c r="AB48" i="1"/>
  <c r="AB32" i="1" s="1"/>
  <c r="AD60" i="1"/>
  <c r="AD64" i="1" s="1"/>
  <c r="AD44" i="1" l="1"/>
  <c r="AC48" i="1"/>
  <c r="AC32" i="1" s="1"/>
  <c r="AE60" i="1"/>
  <c r="AE64" i="1" s="1"/>
  <c r="AE44" i="1" l="1"/>
  <c r="AD48" i="1"/>
  <c r="AD32" i="1" s="1"/>
  <c r="AF60" i="1"/>
  <c r="AF64" i="1" s="1"/>
  <c r="AF44" i="1" l="1"/>
  <c r="AE48" i="1"/>
  <c r="AE32" i="1" s="1"/>
  <c r="AG60" i="1"/>
  <c r="AG64" i="1" s="1"/>
  <c r="AG44" i="1" l="1"/>
  <c r="AF48" i="1"/>
  <c r="AF32" i="1" s="1"/>
  <c r="AH60" i="1"/>
  <c r="AH64" i="1" s="1"/>
  <c r="AH44" i="1" l="1"/>
  <c r="AG48" i="1"/>
  <c r="AG32" i="1" s="1"/>
  <c r="AI60" i="1"/>
  <c r="AI64" i="1" s="1"/>
  <c r="AI44" i="1" l="1"/>
  <c r="AH48" i="1"/>
  <c r="AH32" i="1" s="1"/>
  <c r="AJ60" i="1"/>
  <c r="AJ64" i="1" s="1"/>
  <c r="AJ44" i="1" l="1"/>
  <c r="AI48" i="1"/>
  <c r="AI32" i="1" s="1"/>
  <c r="AK60" i="1"/>
  <c r="AK64" i="1" s="1"/>
  <c r="AK44" i="1" l="1"/>
  <c r="AJ48" i="1"/>
  <c r="AJ32" i="1" s="1"/>
  <c r="AL60" i="1"/>
  <c r="AL64" i="1" s="1"/>
  <c r="AK48" i="1" l="1"/>
  <c r="AK32" i="1" s="1"/>
  <c r="AL44" i="1"/>
  <c r="AM60" i="1"/>
  <c r="AM64" i="1" s="1"/>
  <c r="AM44" i="1" l="1"/>
  <c r="AL48" i="1"/>
  <c r="AL32" i="1" s="1"/>
  <c r="AN60" i="1"/>
  <c r="AN64" i="1" s="1"/>
  <c r="AN44" i="1" l="1"/>
  <c r="AM48" i="1"/>
  <c r="AM32" i="1" s="1"/>
  <c r="AO60" i="1"/>
  <c r="AO64" i="1" s="1"/>
  <c r="AO44" i="1" l="1"/>
  <c r="AN48" i="1"/>
  <c r="AN32" i="1" s="1"/>
  <c r="AP60" i="1"/>
  <c r="AP64" i="1" s="1"/>
  <c r="AP44" i="1" l="1"/>
  <c r="AO48" i="1"/>
  <c r="AO32" i="1" s="1"/>
  <c r="AQ60" i="1"/>
  <c r="AQ64" i="1" s="1"/>
  <c r="AQ44" i="1" l="1"/>
  <c r="AP48" i="1"/>
  <c r="AP32" i="1" s="1"/>
  <c r="AQ48" i="1" l="1"/>
  <c r="AQ32" i="1" s="1"/>
</calcChain>
</file>

<file path=xl/sharedStrings.xml><?xml version="1.0" encoding="utf-8"?>
<sst xmlns="http://schemas.openxmlformats.org/spreadsheetml/2006/main" count="58" uniqueCount="35">
  <si>
    <t>Underlying Value S</t>
  </si>
  <si>
    <t>Black-Scholes Parameters</t>
  </si>
  <si>
    <r>
      <t>Underlying Value (</t>
    </r>
    <r>
      <rPr>
        <b/>
        <sz val="11"/>
        <color theme="1"/>
        <rFont val="Calibri"/>
        <family val="2"/>
        <scheme val="minor"/>
      </rPr>
      <t>S)</t>
    </r>
  </si>
  <si>
    <r>
      <t>Underlying Return Volatility (</t>
    </r>
    <r>
      <rPr>
        <b/>
        <sz val="11"/>
        <color theme="1"/>
        <rFont val="Calibri"/>
        <family val="2"/>
        <scheme val="minor"/>
      </rPr>
      <t>Sigma</t>
    </r>
    <r>
      <rPr>
        <sz val="11"/>
        <color theme="1"/>
        <rFont val="Calibri"/>
        <family val="2"/>
        <scheme val="minor"/>
      </rPr>
      <t>)</t>
    </r>
  </si>
  <si>
    <r>
      <t>Risk-Free Rate (</t>
    </r>
    <r>
      <rPr>
        <b/>
        <sz val="11"/>
        <color theme="1"/>
        <rFont val="Calibri"/>
        <family val="2"/>
        <scheme val="minor"/>
      </rPr>
      <t>RF)</t>
    </r>
  </si>
  <si>
    <r>
      <t>Option Strike Price (</t>
    </r>
    <r>
      <rPr>
        <b/>
        <sz val="11"/>
        <color theme="1"/>
        <rFont val="Calibri"/>
        <family val="2"/>
        <scheme val="minor"/>
      </rPr>
      <t>X)</t>
    </r>
  </si>
  <si>
    <r>
      <t>Option Time to Maturity (</t>
    </r>
    <r>
      <rPr>
        <b/>
        <sz val="11"/>
        <color theme="1"/>
        <rFont val="Calibri"/>
        <family val="2"/>
        <scheme val="minor"/>
      </rPr>
      <t>T)</t>
    </r>
  </si>
  <si>
    <r>
      <t>Underlying Dividend Yield (</t>
    </r>
    <r>
      <rPr>
        <b/>
        <sz val="11"/>
        <color theme="1"/>
        <rFont val="Calibri"/>
        <family val="2"/>
        <scheme val="minor"/>
      </rPr>
      <t>Div)</t>
    </r>
  </si>
  <si>
    <t>Call Option</t>
  </si>
  <si>
    <t>BSCall</t>
  </si>
  <si>
    <t>BSCallDelta</t>
  </si>
  <si>
    <t>BSCallGamma</t>
  </si>
  <si>
    <t>Delta Plot X</t>
  </si>
  <si>
    <t>Delta Plot Y</t>
  </si>
  <si>
    <t>Intrinsic Value</t>
  </si>
  <si>
    <t>Current Value X</t>
  </si>
  <si>
    <t>Current Value Y</t>
  </si>
  <si>
    <t>Current Value Delta Plot 5 Points X</t>
  </si>
  <si>
    <t>Current Value Delta Plot 5 Points Y</t>
  </si>
  <si>
    <t>Current Gamma X</t>
  </si>
  <si>
    <t>Current Gamma Y</t>
  </si>
  <si>
    <t>Put Option</t>
  </si>
  <si>
    <t>BSPut</t>
  </si>
  <si>
    <t>BSPutDelta</t>
  </si>
  <si>
    <t>BSPutGamma</t>
  </si>
  <si>
    <t>Live Selection</t>
  </si>
  <si>
    <t>BSOptionDelta</t>
  </si>
  <si>
    <t>BSOptionGamma</t>
  </si>
  <si>
    <t>Black-Scholes Value</t>
  </si>
  <si>
    <t>Black-Scholes Delta</t>
  </si>
  <si>
    <t>Black-Scholes Gamma</t>
  </si>
  <si>
    <t>Choose Option Type Here</t>
  </si>
  <si>
    <t>list_OptionSelection</t>
  </si>
  <si>
    <t>ctrl_OptionSelection</t>
  </si>
  <si>
    <t>BSOptionValue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</si>
</sst>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Value and Delta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Option Value</c:v>
          </c:tx>
          <c:marker>
            <c:symbol val="none"/>
          </c:marker>
          <c:xVal>
            <c:numRef>
              <c:f>'Black-Scholes Option Pricing'!$C$28:$AP$28</c:f>
              <c:numCache>
                <c:formatCode>0.00</c:formatCode>
                <c:ptCount val="4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</c:numCache>
            </c:numRef>
          </c:xVal>
          <c:yVal>
            <c:numRef>
              <c:f>'Black-Scholes Option Pricing'!$C$29:$AP$29</c:f>
              <c:numCache>
                <c:formatCode>General</c:formatCode>
                <c:ptCount val="40"/>
                <c:pt idx="0">
                  <c:v>1.3589002609739596E-17</c:v>
                </c:pt>
                <c:pt idx="1">
                  <c:v>7.2059541241284262E-11</c:v>
                </c:pt>
                <c:pt idx="2">
                  <c:v>1.1131888671502308E-7</c:v>
                </c:pt>
                <c:pt idx="3">
                  <c:v>9.5743397268901608E-6</c:v>
                </c:pt>
                <c:pt idx="4">
                  <c:v>1.9828683587842224E-4</c:v>
                </c:pt>
                <c:pt idx="5">
                  <c:v>1.800022118476248E-3</c:v>
                </c:pt>
                <c:pt idx="6">
                  <c:v>9.6484923690645374E-3</c:v>
                </c:pt>
                <c:pt idx="7">
                  <c:v>3.6102279775727053E-2</c:v>
                </c:pt>
                <c:pt idx="8">
                  <c:v>0.10445237836281951</c:v>
                </c:pt>
                <c:pt idx="9">
                  <c:v>0.24972977561571286</c:v>
                </c:pt>
                <c:pt idx="10">
                  <c:v>0.51623709523355066</c:v>
                </c:pt>
                <c:pt idx="11">
                  <c:v>0.95269825925976459</c:v>
                </c:pt>
                <c:pt idx="12">
                  <c:v>1.6066435472313589</c:v>
                </c:pt>
                <c:pt idx="13">
                  <c:v>2.5194849589353687</c:v>
                </c:pt>
                <c:pt idx="14">
                  <c:v>3.7231314063032102</c:v>
                </c:pt>
                <c:pt idx="15">
                  <c:v>5.2383652765096897</c:v>
                </c:pt>
                <c:pt idx="16">
                  <c:v>7.0747649699321116</c:v>
                </c:pt>
                <c:pt idx="17">
                  <c:v>9.2317487491767025</c:v>
                </c:pt>
                <c:pt idx="18">
                  <c:v>11.700280790623047</c:v>
                </c:pt>
                <c:pt idx="19">
                  <c:v>14.464846681027971</c:v>
                </c:pt>
                <c:pt idx="20">
                  <c:v>17.505411600828289</c:v>
                </c:pt>
                <c:pt idx="21">
                  <c:v>20.799181236942566</c:v>
                </c:pt>
                <c:pt idx="22">
                  <c:v>24.322073854551952</c:v>
                </c:pt>
                <c:pt idx="23">
                  <c:v>28.049876001749297</c:v>
                </c:pt>
                <c:pt idx="24">
                  <c:v>31.959095450677609</c:v>
                </c:pt>
                <c:pt idx="25">
                  <c:v>36.027547763246574</c:v>
                </c:pt>
                <c:pt idx="26">
                  <c:v>40.234722521172671</c:v>
                </c:pt>
                <c:pt idx="27">
                  <c:v>44.561976402564866</c:v>
                </c:pt>
                <c:pt idx="28">
                  <c:v>48.992596511906441</c:v>
                </c:pt>
                <c:pt idx="29">
                  <c:v>53.511771214828045</c:v>
                </c:pt>
                <c:pt idx="30">
                  <c:v>58.10649884222687</c:v>
                </c:pt>
                <c:pt idx="31">
                  <c:v>62.765457986222813</c:v>
                </c:pt>
                <c:pt idx="32">
                  <c:v>67.478857219955501</c:v>
                </c:pt>
                <c:pt idx="33">
                  <c:v>72.238277136218102</c:v>
                </c:pt>
                <c:pt idx="34">
                  <c:v>77.036513635066996</c:v>
                </c:pt>
                <c:pt idx="35">
                  <c:v>81.867428317210113</c:v>
                </c:pt>
                <c:pt idx="36">
                  <c:v>86.725809532676706</c:v>
                </c:pt>
                <c:pt idx="37">
                  <c:v>91.607245955720387</c:v>
                </c:pt>
                <c:pt idx="38">
                  <c:v>96.508013376442918</c:v>
                </c:pt>
                <c:pt idx="39">
                  <c:v>101.42497460217142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32-491A-A144-A479D9861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11488"/>
        <c:axId val="518112048"/>
      </c:scatterChart>
      <c:scatterChart>
        <c:scatterStyle val="lineMarker"/>
        <c:varyColors val="0"/>
        <c:ser>
          <c:idx val="1"/>
          <c:order val="1"/>
          <c:tx>
            <c:v>Intrinsic Value</c:v>
          </c:tx>
          <c:marker>
            <c:symbol val="none"/>
          </c:marker>
          <c:xVal>
            <c:numRef>
              <c:f>'Black-Scholes Option Pricing'!$C$28:$AP$28</c:f>
              <c:numCache>
                <c:formatCode>0.00</c:formatCode>
                <c:ptCount val="4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</c:numCache>
            </c:numRef>
          </c:xVal>
          <c:yVal>
            <c:numRef>
              <c:f>'Black-Scholes Option Pricing'!$C$32:$AP$32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</c:v>
                </c:pt>
                <c:pt idx="21">
                  <c:v>10</c:v>
                </c:pt>
                <c:pt idx="22">
                  <c:v>15</c:v>
                </c:pt>
                <c:pt idx="23">
                  <c:v>20</c:v>
                </c:pt>
                <c:pt idx="24">
                  <c:v>25</c:v>
                </c:pt>
                <c:pt idx="25">
                  <c:v>30</c:v>
                </c:pt>
                <c:pt idx="26">
                  <c:v>35</c:v>
                </c:pt>
                <c:pt idx="27">
                  <c:v>40</c:v>
                </c:pt>
                <c:pt idx="28">
                  <c:v>45</c:v>
                </c:pt>
                <c:pt idx="29">
                  <c:v>50</c:v>
                </c:pt>
                <c:pt idx="30">
                  <c:v>55</c:v>
                </c:pt>
                <c:pt idx="31">
                  <c:v>60</c:v>
                </c:pt>
                <c:pt idx="32">
                  <c:v>65</c:v>
                </c:pt>
                <c:pt idx="33">
                  <c:v>70</c:v>
                </c:pt>
                <c:pt idx="34">
                  <c:v>75</c:v>
                </c:pt>
                <c:pt idx="35">
                  <c:v>80</c:v>
                </c:pt>
                <c:pt idx="36">
                  <c:v>85</c:v>
                </c:pt>
                <c:pt idx="37">
                  <c:v>90</c:v>
                </c:pt>
                <c:pt idx="38">
                  <c:v>95</c:v>
                </c:pt>
                <c:pt idx="3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32-491A-A144-A479D9861988}"/>
            </c:ext>
          </c:extLst>
        </c:ser>
        <c:ser>
          <c:idx val="2"/>
          <c:order val="2"/>
          <c:tx>
            <c:v>Value Point</c:v>
          </c:tx>
          <c:marker>
            <c:symbol val="triangle"/>
            <c:size val="10"/>
            <c:spPr>
              <a:solidFill>
                <a:schemeClr val="accent1"/>
              </a:solidFill>
            </c:spPr>
          </c:marker>
          <c:xVal>
            <c:numRef>
              <c:f>'Black-Scholes Option Pricing'!$B$33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'Black-Scholes Option Pricing'!$B$34</c:f>
              <c:numCache>
                <c:formatCode>General</c:formatCode>
                <c:ptCount val="1"/>
                <c:pt idx="0">
                  <c:v>14.464846681027971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32-491A-A144-A479D9861988}"/>
            </c:ext>
          </c:extLst>
        </c:ser>
        <c:ser>
          <c:idx val="3"/>
          <c:order val="3"/>
          <c:tx>
            <c:v>Slope at Current</c:v>
          </c:tx>
          <c:marker>
            <c:symbol val="none"/>
          </c:marker>
          <c:xVal>
            <c:numRef>
              <c:f>'Black-Scholes Option Pricing'!$B$37:$F$37</c:f>
              <c:numCache>
                <c:formatCode>General</c:formatCode>
                <c:ptCount val="5"/>
                <c:pt idx="0">
                  <c:v>60</c:v>
                </c:pt>
                <c:pt idx="1">
                  <c:v>80</c:v>
                </c:pt>
                <c:pt idx="2">
                  <c:v>100</c:v>
                </c:pt>
                <c:pt idx="3">
                  <c:v>120</c:v>
                </c:pt>
                <c:pt idx="4">
                  <c:v>140</c:v>
                </c:pt>
              </c:numCache>
            </c:numRef>
          </c:xVal>
          <c:yVal>
            <c:numRef>
              <c:f>'Black-Scholes Option Pricing'!$B$38:$F$38</c:f>
              <c:numCache>
                <c:formatCode>General</c:formatCode>
                <c:ptCount val="5"/>
                <c:pt idx="0">
                  <c:v>-8.7846634683295584</c:v>
                </c:pt>
                <c:pt idx="1">
                  <c:v>2.8400916063492065</c:v>
                </c:pt>
                <c:pt idx="2">
                  <c:v>14.464846681027971</c:v>
                </c:pt>
                <c:pt idx="3">
                  <c:v>26.089601755706738</c:v>
                </c:pt>
                <c:pt idx="4">
                  <c:v>37.714356830385505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32-491A-A144-A479D9861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11488"/>
        <c:axId val="518112048"/>
      </c:scatterChart>
      <c:valAx>
        <c:axId val="518111488"/>
        <c:scaling>
          <c:orientation val="minMax"/>
          <c:max val="20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crossAx val="518112048"/>
        <c:crosses val="autoZero"/>
        <c:crossBetween val="midCat"/>
      </c:valAx>
      <c:valAx>
        <c:axId val="518112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18111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Gamma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'Black-Scholes Option Pricing'!$C$28:$AP$28</c:f>
              <c:numCache>
                <c:formatCode>0.00</c:formatCode>
                <c:ptCount val="4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</c:numCache>
            </c:numRef>
          </c:xVal>
          <c:yVal>
            <c:numRef>
              <c:f>'Black-Scholes Option Pricing'!$C$31:$AP$31</c:f>
              <c:numCache>
                <c:formatCode>General</c:formatCode>
                <c:ptCount val="40"/>
                <c:pt idx="0">
                  <c:v>3.2270167786543202E-16</c:v>
                </c:pt>
                <c:pt idx="1">
                  <c:v>2.5881154531670721E-10</c:v>
                </c:pt>
                <c:pt idx="2">
                  <c:v>1.2384682459659189E-7</c:v>
                </c:pt>
                <c:pt idx="3">
                  <c:v>4.4453025653140115E-6</c:v>
                </c:pt>
                <c:pt idx="4">
                  <c:v>4.5294901545462908E-5</c:v>
                </c:pt>
                <c:pt idx="5">
                  <c:v>2.2456665923846592E-4</c:v>
                </c:pt>
                <c:pt idx="6">
                  <c:v>7.0649109239612163E-4</c:v>
                </c:pt>
                <c:pt idx="7">
                  <c:v>1.6351374461124762E-3</c:v>
                </c:pt>
                <c:pt idx="8">
                  <c:v>3.045077422592332E-3</c:v>
                </c:pt>
                <c:pt idx="9">
                  <c:v>4.8341379544666547E-3</c:v>
                </c:pt>
                <c:pt idx="10">
                  <c:v>6.8024883150701113E-3</c:v>
                </c:pt>
                <c:pt idx="11">
                  <c:v>8.720491008029508E-3</c:v>
                </c:pt>
                <c:pt idx="12">
                  <c:v>1.0388336172197105E-2</c:v>
                </c:pt>
                <c:pt idx="13">
                  <c:v>1.1669991051671866E-2</c:v>
                </c:pt>
                <c:pt idx="14">
                  <c:v>1.2501343341605527E-2</c:v>
                </c:pt>
                <c:pt idx="15">
                  <c:v>1.2880788834730083E-2</c:v>
                </c:pt>
                <c:pt idx="16">
                  <c:v>1.2851655419388356E-2</c:v>
                </c:pt>
                <c:pt idx="17">
                  <c:v>1.2483510236337937E-2</c:v>
                </c:pt>
                <c:pt idx="18">
                  <c:v>1.1856327929773983E-2</c:v>
                </c:pt>
                <c:pt idx="19">
                  <c:v>1.1049026567333139E-2</c:v>
                </c:pt>
                <c:pt idx="20">
                  <c:v>1.0132336576682961E-2</c:v>
                </c:pt>
                <c:pt idx="21">
                  <c:v>9.1652221966572155E-3</c:v>
                </c:pt>
                <c:pt idx="22">
                  <c:v>8.1938580844753365E-3</c:v>
                </c:pt>
                <c:pt idx="23">
                  <c:v>7.2522348069915281E-3</c:v>
                </c:pt>
                <c:pt idx="24">
                  <c:v>6.363657823950433E-3</c:v>
                </c:pt>
                <c:pt idx="25">
                  <c:v>5.5426169545465618E-3</c:v>
                </c:pt>
                <c:pt idx="26">
                  <c:v>4.7966895788988852E-3</c:v>
                </c:pt>
                <c:pt idx="27">
                  <c:v>4.1282844476623875E-3</c:v>
                </c:pt>
                <c:pt idx="28">
                  <c:v>3.5361338783781444E-3</c:v>
                </c:pt>
                <c:pt idx="29">
                  <c:v>3.0165073160682491E-3</c:v>
                </c:pt>
                <c:pt idx="30">
                  <c:v>2.5641575953539576E-3</c:v>
                </c:pt>
                <c:pt idx="31">
                  <c:v>2.1730309635802753E-3</c:v>
                </c:pt>
                <c:pt idx="32">
                  <c:v>1.8367795981311769E-3</c:v>
                </c:pt>
                <c:pt idx="33">
                  <c:v>1.5491158218441515E-3</c:v>
                </c:pt>
                <c:pt idx="34">
                  <c:v>1.3040438174318936E-3</c:v>
                </c:pt>
                <c:pt idx="35">
                  <c:v>1.0959995153610677E-3</c:v>
                </c:pt>
                <c:pt idx="36">
                  <c:v>9.1992377898117992E-4</c:v>
                </c:pt>
                <c:pt idx="37">
                  <c:v>7.7128875587053898E-4</c:v>
                </c:pt>
                <c:pt idx="38">
                  <c:v>6.4609265186804795E-4</c:v>
                </c:pt>
                <c:pt idx="39">
                  <c:v>5.4083433319651543E-4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FC-4B1A-8753-FD975E8C170A}"/>
            </c:ext>
          </c:extLst>
        </c:ser>
        <c:ser>
          <c:idx val="1"/>
          <c:order val="1"/>
          <c:marker>
            <c:symbol val="triangle"/>
            <c:size val="10"/>
          </c:marker>
          <c:xVal>
            <c:numRef>
              <c:f>'Black-Scholes Option Pricing'!$B$39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'Black-Scholes Option Pricing'!$B$40</c:f>
              <c:numCache>
                <c:formatCode>General</c:formatCode>
                <c:ptCount val="1"/>
                <c:pt idx="0">
                  <c:v>1.1049026567333139E-2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FC-4B1A-8753-FD975E8C1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201760"/>
        <c:axId val="579202320"/>
      </c:scatterChart>
      <c:valAx>
        <c:axId val="579201760"/>
        <c:scaling>
          <c:orientation val="minMax"/>
          <c:max val="20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crossAx val="579202320"/>
        <c:crosses val="autoZero"/>
        <c:crossBetween val="midCat"/>
      </c:valAx>
      <c:valAx>
        <c:axId val="579202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9201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82261</xdr:colOff>
      <xdr:row>0</xdr:row>
      <xdr:rowOff>188336</xdr:rowOff>
    </xdr:from>
    <xdr:to>
      <xdr:col>9</xdr:col>
      <xdr:colOff>383597</xdr:colOff>
      <xdr:row>15</xdr:row>
      <xdr:rowOff>74036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25977</xdr:colOff>
      <xdr:row>1</xdr:row>
      <xdr:rowOff>9524</xdr:rowOff>
    </xdr:from>
    <xdr:to>
      <xdr:col>17</xdr:col>
      <xdr:colOff>355022</xdr:colOff>
      <xdr:row>15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Q72"/>
  <sheetViews>
    <sheetView zoomScale="90" zoomScaleNormal="90" workbookViewId="0">
      <selection activeCell="B2" sqref="B2"/>
    </sheetView>
  </sheetViews>
  <sheetFormatPr defaultRowHeight="15" x14ac:dyDescent="0.25"/>
  <cols>
    <col min="1" max="1" width="33" customWidth="1"/>
  </cols>
  <sheetData>
    <row r="2" spans="1:2" x14ac:dyDescent="0.25">
      <c r="A2" s="1" t="s">
        <v>31</v>
      </c>
      <c r="B2" t="s">
        <v>8</v>
      </c>
    </row>
    <row r="4" spans="1:2" x14ac:dyDescent="0.25">
      <c r="A4" s="5" t="s">
        <v>1</v>
      </c>
      <c r="B4" s="5"/>
    </row>
    <row r="5" spans="1:2" x14ac:dyDescent="0.25">
      <c r="A5" t="s">
        <v>2</v>
      </c>
      <c r="B5" s="3">
        <v>100</v>
      </c>
    </row>
    <row r="6" spans="1:2" x14ac:dyDescent="0.25">
      <c r="A6" t="s">
        <v>3</v>
      </c>
      <c r="B6" s="4">
        <v>0.5</v>
      </c>
    </row>
    <row r="7" spans="1:2" x14ac:dyDescent="0.25">
      <c r="A7" t="s">
        <v>7</v>
      </c>
      <c r="B7" s="4">
        <v>0</v>
      </c>
    </row>
    <row r="8" spans="1:2" x14ac:dyDescent="0.25">
      <c r="A8" t="s">
        <v>4</v>
      </c>
      <c r="B8" s="4">
        <v>0.02</v>
      </c>
    </row>
    <row r="9" spans="1:2" x14ac:dyDescent="0.25">
      <c r="A9" t="s">
        <v>5</v>
      </c>
      <c r="B9" s="3">
        <v>100</v>
      </c>
    </row>
    <row r="10" spans="1:2" x14ac:dyDescent="0.25">
      <c r="A10" t="s">
        <v>6</v>
      </c>
      <c r="B10" s="3">
        <v>0.5</v>
      </c>
    </row>
    <row r="12" spans="1:2" x14ac:dyDescent="0.25">
      <c r="A12" t="s">
        <v>28</v>
      </c>
      <c r="B12" s="2">
        <f>B34</f>
        <v>14.464846681027971</v>
      </c>
    </row>
    <row r="13" spans="1:2" x14ac:dyDescent="0.25">
      <c r="A13" t="s">
        <v>29</v>
      </c>
      <c r="B13" s="2">
        <f>B36</f>
        <v>0.58123775373393827</v>
      </c>
    </row>
    <row r="14" spans="1:2" x14ac:dyDescent="0.25">
      <c r="A14" t="s">
        <v>30</v>
      </c>
      <c r="B14" s="2">
        <f>B40</f>
        <v>1.1049026567333139E-2</v>
      </c>
    </row>
    <row r="15" spans="1:2" x14ac:dyDescent="0.25">
      <c r="B15" s="2"/>
    </row>
    <row r="16" spans="1:2" x14ac:dyDescent="0.25">
      <c r="B16" s="2"/>
    </row>
    <row r="17" spans="1:43" x14ac:dyDescent="0.25">
      <c r="B17" s="2"/>
    </row>
    <row r="18" spans="1:43" x14ac:dyDescent="0.25">
      <c r="B18" s="2"/>
    </row>
    <row r="19" spans="1:43" x14ac:dyDescent="0.25">
      <c r="B19" s="2"/>
    </row>
    <row r="20" spans="1:43" x14ac:dyDescent="0.25">
      <c r="B20" s="2"/>
    </row>
    <row r="21" spans="1:43" x14ac:dyDescent="0.25">
      <c r="B21" s="2"/>
    </row>
    <row r="22" spans="1:43" x14ac:dyDescent="0.25">
      <c r="B22" s="2"/>
    </row>
    <row r="23" spans="1:43" x14ac:dyDescent="0.25">
      <c r="B23" s="2"/>
    </row>
    <row r="24" spans="1:43" x14ac:dyDescent="0.25">
      <c r="B24" s="2"/>
    </row>
    <row r="25" spans="1:43" x14ac:dyDescent="0.25">
      <c r="B25" s="2"/>
    </row>
    <row r="27" spans="1:43" x14ac:dyDescent="0.25">
      <c r="A27" t="s">
        <v>25</v>
      </c>
    </row>
    <row r="28" spans="1:43" x14ac:dyDescent="0.25">
      <c r="A28" t="s">
        <v>0</v>
      </c>
      <c r="C28" s="2">
        <v>5</v>
      </c>
      <c r="D28" s="2">
        <f>C28+5</f>
        <v>10</v>
      </c>
      <c r="E28" s="2">
        <f t="shared" ref="E28" si="0">D28+5</f>
        <v>15</v>
      </c>
      <c r="F28" s="2">
        <f t="shared" ref="F28" si="1">E28+5</f>
        <v>20</v>
      </c>
      <c r="G28" s="2">
        <f t="shared" ref="G28" si="2">F28+5</f>
        <v>25</v>
      </c>
      <c r="H28" s="2">
        <f t="shared" ref="H28" si="3">G28+5</f>
        <v>30</v>
      </c>
      <c r="I28" s="2">
        <f t="shared" ref="I28" si="4">H28+5</f>
        <v>35</v>
      </c>
      <c r="J28" s="2">
        <f t="shared" ref="J28" si="5">I28+5</f>
        <v>40</v>
      </c>
      <c r="K28" s="2">
        <f t="shared" ref="K28" si="6">J28+5</f>
        <v>45</v>
      </c>
      <c r="L28" s="2">
        <f t="shared" ref="L28" si="7">K28+5</f>
        <v>50</v>
      </c>
      <c r="M28" s="2">
        <f t="shared" ref="M28" si="8">L28+5</f>
        <v>55</v>
      </c>
      <c r="N28" s="2">
        <f t="shared" ref="N28" si="9">M28+5</f>
        <v>60</v>
      </c>
      <c r="O28" s="2">
        <f t="shared" ref="O28" si="10">N28+5</f>
        <v>65</v>
      </c>
      <c r="P28" s="2">
        <f t="shared" ref="P28" si="11">O28+5</f>
        <v>70</v>
      </c>
      <c r="Q28" s="2">
        <f t="shared" ref="Q28" si="12">P28+5</f>
        <v>75</v>
      </c>
      <c r="R28" s="2">
        <f t="shared" ref="R28" si="13">Q28+5</f>
        <v>80</v>
      </c>
      <c r="S28" s="2">
        <f t="shared" ref="S28" si="14">R28+5</f>
        <v>85</v>
      </c>
      <c r="T28" s="2">
        <f t="shared" ref="T28" si="15">S28+5</f>
        <v>90</v>
      </c>
      <c r="U28" s="2">
        <f t="shared" ref="U28" si="16">T28+5</f>
        <v>95</v>
      </c>
      <c r="V28" s="2">
        <f t="shared" ref="V28" si="17">U28+5</f>
        <v>100</v>
      </c>
      <c r="W28" s="2">
        <f t="shared" ref="W28" si="18">V28+5</f>
        <v>105</v>
      </c>
      <c r="X28" s="2">
        <f t="shared" ref="X28" si="19">W28+5</f>
        <v>110</v>
      </c>
      <c r="Y28" s="2">
        <f t="shared" ref="Y28" si="20">X28+5</f>
        <v>115</v>
      </c>
      <c r="Z28" s="2">
        <f t="shared" ref="Z28" si="21">Y28+5</f>
        <v>120</v>
      </c>
      <c r="AA28" s="2">
        <f t="shared" ref="AA28" si="22">Z28+5</f>
        <v>125</v>
      </c>
      <c r="AB28" s="2">
        <f t="shared" ref="AB28" si="23">AA28+5</f>
        <v>130</v>
      </c>
      <c r="AC28" s="2">
        <f t="shared" ref="AC28" si="24">AB28+5</f>
        <v>135</v>
      </c>
      <c r="AD28" s="2">
        <f t="shared" ref="AD28" si="25">AC28+5</f>
        <v>140</v>
      </c>
      <c r="AE28" s="2">
        <f t="shared" ref="AE28" si="26">AD28+5</f>
        <v>145</v>
      </c>
      <c r="AF28" s="2">
        <f t="shared" ref="AF28" si="27">AE28+5</f>
        <v>150</v>
      </c>
      <c r="AG28" s="2">
        <f t="shared" ref="AG28" si="28">AF28+5</f>
        <v>155</v>
      </c>
      <c r="AH28" s="2">
        <f t="shared" ref="AH28" si="29">AG28+5</f>
        <v>160</v>
      </c>
      <c r="AI28" s="2">
        <f t="shared" ref="AI28" si="30">AH28+5</f>
        <v>165</v>
      </c>
      <c r="AJ28" s="2">
        <f t="shared" ref="AJ28" si="31">AI28+5</f>
        <v>170</v>
      </c>
      <c r="AK28" s="2">
        <f t="shared" ref="AK28" si="32">AJ28+5</f>
        <v>175</v>
      </c>
      <c r="AL28" s="2">
        <f t="shared" ref="AL28" si="33">AK28+5</f>
        <v>180</v>
      </c>
      <c r="AM28" s="2">
        <f t="shared" ref="AM28" si="34">AL28+5</f>
        <v>185</v>
      </c>
      <c r="AN28" s="2">
        <f t="shared" ref="AN28" si="35">AM28+5</f>
        <v>190</v>
      </c>
      <c r="AO28" s="2">
        <f t="shared" ref="AO28" si="36">AN28+5</f>
        <v>195</v>
      </c>
      <c r="AP28" s="2">
        <f t="shared" ref="AP28" si="37">AO28+5</f>
        <v>200</v>
      </c>
      <c r="AQ28" s="2">
        <f t="shared" ref="AQ28" si="38">AP28+5</f>
        <v>205</v>
      </c>
    </row>
    <row r="29" spans="1:43" x14ac:dyDescent="0.25">
      <c r="A29" t="s">
        <v>34</v>
      </c>
      <c r="B29">
        <f t="shared" ref="B29:AQ29" si="39">CHOOSE(ctrl_OptionSelectionNumber,B45,B61)</f>
        <v>14.464846681027971</v>
      </c>
      <c r="C29">
        <f t="shared" si="39"/>
        <v>1.3589002609739596E-17</v>
      </c>
      <c r="D29">
        <f t="shared" si="39"/>
        <v>7.2059541241284262E-11</v>
      </c>
      <c r="E29">
        <f t="shared" si="39"/>
        <v>1.1131888671502308E-7</v>
      </c>
      <c r="F29">
        <f t="shared" si="39"/>
        <v>9.5743397268901608E-6</v>
      </c>
      <c r="G29">
        <f t="shared" si="39"/>
        <v>1.9828683587842224E-4</v>
      </c>
      <c r="H29">
        <f t="shared" si="39"/>
        <v>1.800022118476248E-3</v>
      </c>
      <c r="I29">
        <f t="shared" si="39"/>
        <v>9.6484923690645374E-3</v>
      </c>
      <c r="J29">
        <f t="shared" si="39"/>
        <v>3.6102279775727053E-2</v>
      </c>
      <c r="K29">
        <f t="shared" si="39"/>
        <v>0.10445237836281951</v>
      </c>
      <c r="L29">
        <f t="shared" si="39"/>
        <v>0.24972977561571286</v>
      </c>
      <c r="M29">
        <f t="shared" si="39"/>
        <v>0.51623709523355066</v>
      </c>
      <c r="N29">
        <f t="shared" si="39"/>
        <v>0.95269825925976459</v>
      </c>
      <c r="O29">
        <f t="shared" si="39"/>
        <v>1.6066435472313589</v>
      </c>
      <c r="P29">
        <f t="shared" si="39"/>
        <v>2.5194849589353687</v>
      </c>
      <c r="Q29">
        <f t="shared" si="39"/>
        <v>3.7231314063032102</v>
      </c>
      <c r="R29">
        <f t="shared" si="39"/>
        <v>5.2383652765096897</v>
      </c>
      <c r="S29">
        <f t="shared" si="39"/>
        <v>7.0747649699321116</v>
      </c>
      <c r="T29">
        <f t="shared" si="39"/>
        <v>9.2317487491767025</v>
      </c>
      <c r="U29">
        <f t="shared" si="39"/>
        <v>11.700280790623047</v>
      </c>
      <c r="V29">
        <f t="shared" si="39"/>
        <v>14.464846681027971</v>
      </c>
      <c r="W29">
        <f t="shared" si="39"/>
        <v>17.505411600828289</v>
      </c>
      <c r="X29">
        <f t="shared" si="39"/>
        <v>20.799181236942566</v>
      </c>
      <c r="Y29">
        <f t="shared" si="39"/>
        <v>24.322073854551952</v>
      </c>
      <c r="Z29">
        <f t="shared" si="39"/>
        <v>28.049876001749297</v>
      </c>
      <c r="AA29">
        <f t="shared" si="39"/>
        <v>31.959095450677609</v>
      </c>
      <c r="AB29">
        <f t="shared" si="39"/>
        <v>36.027547763246574</v>
      </c>
      <c r="AC29">
        <f t="shared" si="39"/>
        <v>40.234722521172671</v>
      </c>
      <c r="AD29">
        <f t="shared" si="39"/>
        <v>44.561976402564866</v>
      </c>
      <c r="AE29">
        <f t="shared" si="39"/>
        <v>48.992596511906441</v>
      </c>
      <c r="AF29">
        <f t="shared" si="39"/>
        <v>53.511771214828045</v>
      </c>
      <c r="AG29">
        <f t="shared" si="39"/>
        <v>58.10649884222687</v>
      </c>
      <c r="AH29">
        <f t="shared" si="39"/>
        <v>62.765457986222813</v>
      </c>
      <c r="AI29">
        <f t="shared" si="39"/>
        <v>67.478857219955501</v>
      </c>
      <c r="AJ29">
        <f t="shared" si="39"/>
        <v>72.238277136218102</v>
      </c>
      <c r="AK29">
        <f t="shared" si="39"/>
        <v>77.036513635066996</v>
      </c>
      <c r="AL29">
        <f t="shared" si="39"/>
        <v>81.867428317210113</v>
      </c>
      <c r="AM29">
        <f t="shared" si="39"/>
        <v>86.725809532676706</v>
      </c>
      <c r="AN29">
        <f t="shared" si="39"/>
        <v>91.607245955720387</v>
      </c>
      <c r="AO29">
        <f t="shared" si="39"/>
        <v>96.508013376442918</v>
      </c>
      <c r="AP29">
        <f t="shared" si="39"/>
        <v>101.42497460217142</v>
      </c>
      <c r="AQ29">
        <f t="shared" si="39"/>
        <v>106.35549185087586</v>
      </c>
    </row>
    <row r="30" spans="1:43" x14ac:dyDescent="0.25">
      <c r="A30" t="s">
        <v>26</v>
      </c>
      <c r="B30">
        <f t="shared" ref="B30:AQ30" si="40">CHOOSE(ctrl_OptionSelectionNumber,B46,B62)</f>
        <v>0.58123775373393827</v>
      </c>
      <c r="C30">
        <f t="shared" si="40"/>
        <v>6.8027135948281686E-17</v>
      </c>
      <c r="D30">
        <f t="shared" si="40"/>
        <v>1.4166738519277074E-10</v>
      </c>
      <c r="E30">
        <f t="shared" si="40"/>
        <v>1.2294532575619976E-7</v>
      </c>
      <c r="F30">
        <f t="shared" si="40"/>
        <v>6.8969361219096643E-6</v>
      </c>
      <c r="G30">
        <f t="shared" si="40"/>
        <v>1.0121215719917911E-4</v>
      </c>
      <c r="H30">
        <f t="shared" si="40"/>
        <v>6.8645075392856304E-4</v>
      </c>
      <c r="I30">
        <f t="shared" si="40"/>
        <v>2.8523895970402062E-3</v>
      </c>
      <c r="J30">
        <f t="shared" si="40"/>
        <v>8.502477244225936E-3</v>
      </c>
      <c r="K30">
        <f t="shared" si="40"/>
        <v>2.0013999410793511E-2</v>
      </c>
      <c r="L30">
        <f t="shared" si="40"/>
        <v>3.9590728332979275E-2</v>
      </c>
      <c r="M30">
        <f t="shared" si="40"/>
        <v>6.865577324086139E-2</v>
      </c>
      <c r="N30">
        <f t="shared" si="40"/>
        <v>0.1075298532460215</v>
      </c>
      <c r="O30">
        <f t="shared" si="40"/>
        <v>0.1554400323053669</v>
      </c>
      <c r="P30">
        <f t="shared" si="40"/>
        <v>0.21076545238840053</v>
      </c>
      <c r="Q30">
        <f t="shared" si="40"/>
        <v>0.27138591470952389</v>
      </c>
      <c r="R30">
        <f t="shared" si="40"/>
        <v>0.33502320752023174</v>
      </c>
      <c r="S30">
        <f t="shared" si="40"/>
        <v>0.39951140194218965</v>
      </c>
      <c r="T30">
        <f t="shared" si="40"/>
        <v>0.46297419432191567</v>
      </c>
      <c r="U30">
        <f t="shared" si="40"/>
        <v>0.52391486382754549</v>
      </c>
      <c r="V30">
        <f t="shared" si="40"/>
        <v>0.58123775373393827</v>
      </c>
      <c r="W30">
        <f t="shared" si="40"/>
        <v>0.6342234855955422</v>
      </c>
      <c r="X30">
        <f t="shared" si="40"/>
        <v>0.68247779994703861</v>
      </c>
      <c r="Y30">
        <f t="shared" si="40"/>
        <v>0.7258693072553537</v>
      </c>
      <c r="Z30">
        <f t="shared" si="40"/>
        <v>0.76446654472565923</v>
      </c>
      <c r="AA30">
        <f t="shared" si="40"/>
        <v>0.79848055565156484</v>
      </c>
      <c r="AB30">
        <f t="shared" si="40"/>
        <v>0.82821606602383713</v>
      </c>
      <c r="AC30">
        <f t="shared" si="40"/>
        <v>0.85403219977077793</v>
      </c>
      <c r="AD30">
        <f t="shared" si="40"/>
        <v>0.8763123679195326</v>
      </c>
      <c r="AE30">
        <f t="shared" si="40"/>
        <v>0.8954422702235515</v>
      </c>
      <c r="AF30">
        <f t="shared" si="40"/>
        <v>0.91179466273503795</v>
      </c>
      <c r="AG30">
        <f t="shared" si="40"/>
        <v>0.92571951495780469</v>
      </c>
      <c r="AH30">
        <f t="shared" si="40"/>
        <v>0.93753829246421283</v>
      </c>
      <c r="AI30">
        <f t="shared" si="40"/>
        <v>0.94754127922462739</v>
      </c>
      <c r="AJ30">
        <f t="shared" si="40"/>
        <v>0.95598705094478764</v>
      </c>
      <c r="AK30">
        <f t="shared" si="40"/>
        <v>0.96310339930776989</v>
      </c>
      <c r="AL30">
        <f t="shared" si="40"/>
        <v>0.96908917359946356</v>
      </c>
      <c r="AM30">
        <f t="shared" si="40"/>
        <v>0.97411664568346534</v>
      </c>
      <c r="AN30">
        <f t="shared" si="40"/>
        <v>0.97833411655564828</v>
      </c>
      <c r="AO30">
        <f t="shared" si="40"/>
        <v>0.98186857021684593</v>
      </c>
      <c r="AP30">
        <f t="shared" si="40"/>
        <v>0.98482824693457405</v>
      </c>
      <c r="AQ30">
        <f t="shared" si="40"/>
        <v>0.98730505694276627</v>
      </c>
    </row>
    <row r="31" spans="1:43" x14ac:dyDescent="0.25">
      <c r="A31" t="s">
        <v>27</v>
      </c>
      <c r="B31">
        <f t="shared" ref="B31:AQ31" si="41">CHOOSE(ctrl_OptionSelectionNumber,B47,B63)</f>
        <v>1.1049026567333139E-2</v>
      </c>
      <c r="C31">
        <f t="shared" si="41"/>
        <v>3.2270167786543202E-16</v>
      </c>
      <c r="D31">
        <f t="shared" si="41"/>
        <v>2.5881154531670721E-10</v>
      </c>
      <c r="E31">
        <f t="shared" si="41"/>
        <v>1.2384682459659189E-7</v>
      </c>
      <c r="F31">
        <f t="shared" si="41"/>
        <v>4.4453025653140115E-6</v>
      </c>
      <c r="G31">
        <f t="shared" si="41"/>
        <v>4.5294901545462908E-5</v>
      </c>
      <c r="H31">
        <f t="shared" si="41"/>
        <v>2.2456665923846592E-4</v>
      </c>
      <c r="I31">
        <f t="shared" si="41"/>
        <v>7.0649109239612163E-4</v>
      </c>
      <c r="J31">
        <f t="shared" si="41"/>
        <v>1.6351374461124762E-3</v>
      </c>
      <c r="K31">
        <f t="shared" si="41"/>
        <v>3.045077422592332E-3</v>
      </c>
      <c r="L31">
        <f t="shared" si="41"/>
        <v>4.8341379544666547E-3</v>
      </c>
      <c r="M31">
        <f t="shared" si="41"/>
        <v>6.8024883150701113E-3</v>
      </c>
      <c r="N31">
        <f t="shared" si="41"/>
        <v>8.720491008029508E-3</v>
      </c>
      <c r="O31">
        <f t="shared" si="41"/>
        <v>1.0388336172197105E-2</v>
      </c>
      <c r="P31">
        <f t="shared" si="41"/>
        <v>1.1669991051671866E-2</v>
      </c>
      <c r="Q31">
        <f t="shared" si="41"/>
        <v>1.2501343341605527E-2</v>
      </c>
      <c r="R31">
        <f t="shared" si="41"/>
        <v>1.2880788834730083E-2</v>
      </c>
      <c r="S31">
        <f t="shared" si="41"/>
        <v>1.2851655419388356E-2</v>
      </c>
      <c r="T31">
        <f t="shared" si="41"/>
        <v>1.2483510236337937E-2</v>
      </c>
      <c r="U31">
        <f t="shared" si="41"/>
        <v>1.1856327929773983E-2</v>
      </c>
      <c r="V31">
        <f t="shared" si="41"/>
        <v>1.1049026567333139E-2</v>
      </c>
      <c r="W31">
        <f t="shared" si="41"/>
        <v>1.0132336576682961E-2</v>
      </c>
      <c r="X31">
        <f t="shared" si="41"/>
        <v>9.1652221966572155E-3</v>
      </c>
      <c r="Y31">
        <f t="shared" si="41"/>
        <v>8.1938580844753365E-3</v>
      </c>
      <c r="Z31">
        <f t="shared" si="41"/>
        <v>7.2522348069915281E-3</v>
      </c>
      <c r="AA31">
        <f t="shared" si="41"/>
        <v>6.363657823950433E-3</v>
      </c>
      <c r="AB31">
        <f t="shared" si="41"/>
        <v>5.5426169545465618E-3</v>
      </c>
      <c r="AC31">
        <f t="shared" si="41"/>
        <v>4.7966895788988852E-3</v>
      </c>
      <c r="AD31">
        <f t="shared" si="41"/>
        <v>4.1282844476623875E-3</v>
      </c>
      <c r="AE31">
        <f t="shared" si="41"/>
        <v>3.5361338783781444E-3</v>
      </c>
      <c r="AF31">
        <f t="shared" si="41"/>
        <v>3.0165073160682491E-3</v>
      </c>
      <c r="AG31">
        <f t="shared" si="41"/>
        <v>2.5641575953539576E-3</v>
      </c>
      <c r="AH31">
        <f t="shared" si="41"/>
        <v>2.1730309635802753E-3</v>
      </c>
      <c r="AI31">
        <f t="shared" si="41"/>
        <v>1.8367795981311769E-3</v>
      </c>
      <c r="AJ31">
        <f t="shared" si="41"/>
        <v>1.5491158218441515E-3</v>
      </c>
      <c r="AK31">
        <f t="shared" si="41"/>
        <v>1.3040438174318936E-3</v>
      </c>
      <c r="AL31">
        <f t="shared" si="41"/>
        <v>1.0959995153610677E-3</v>
      </c>
      <c r="AM31">
        <f t="shared" si="41"/>
        <v>9.1992377898117992E-4</v>
      </c>
      <c r="AN31">
        <f t="shared" si="41"/>
        <v>7.7128875587053898E-4</v>
      </c>
      <c r="AO31">
        <f t="shared" si="41"/>
        <v>6.4609265186804795E-4</v>
      </c>
      <c r="AP31">
        <f t="shared" si="41"/>
        <v>5.4083433319651543E-4</v>
      </c>
      <c r="AQ31">
        <f t="shared" si="41"/>
        <v>4.5247606282820731E-4</v>
      </c>
    </row>
    <row r="32" spans="1:43" x14ac:dyDescent="0.25">
      <c r="A32" t="s">
        <v>14</v>
      </c>
      <c r="C32">
        <f t="shared" ref="C32:AQ32" si="42">CHOOSE(ctrl_OptionSelectionNumber,C48,C64)</f>
        <v>0</v>
      </c>
      <c r="D32">
        <f t="shared" si="42"/>
        <v>0</v>
      </c>
      <c r="E32">
        <f t="shared" si="42"/>
        <v>0</v>
      </c>
      <c r="F32">
        <f t="shared" si="42"/>
        <v>0</v>
      </c>
      <c r="G32">
        <f t="shared" si="42"/>
        <v>0</v>
      </c>
      <c r="H32">
        <f t="shared" si="42"/>
        <v>0</v>
      </c>
      <c r="I32">
        <f t="shared" si="42"/>
        <v>0</v>
      </c>
      <c r="J32">
        <f t="shared" si="42"/>
        <v>0</v>
      </c>
      <c r="K32">
        <f t="shared" si="42"/>
        <v>0</v>
      </c>
      <c r="L32">
        <f t="shared" si="42"/>
        <v>0</v>
      </c>
      <c r="M32">
        <f t="shared" si="42"/>
        <v>0</v>
      </c>
      <c r="N32">
        <f t="shared" si="42"/>
        <v>0</v>
      </c>
      <c r="O32">
        <f t="shared" si="42"/>
        <v>0</v>
      </c>
      <c r="P32">
        <f t="shared" si="42"/>
        <v>0</v>
      </c>
      <c r="Q32">
        <f t="shared" si="42"/>
        <v>0</v>
      </c>
      <c r="R32">
        <f t="shared" si="42"/>
        <v>0</v>
      </c>
      <c r="S32">
        <f t="shared" si="42"/>
        <v>0</v>
      </c>
      <c r="T32">
        <f t="shared" si="42"/>
        <v>0</v>
      </c>
      <c r="U32">
        <f t="shared" si="42"/>
        <v>0</v>
      </c>
      <c r="V32">
        <f t="shared" si="42"/>
        <v>0</v>
      </c>
      <c r="W32">
        <f t="shared" si="42"/>
        <v>5</v>
      </c>
      <c r="X32">
        <f t="shared" si="42"/>
        <v>10</v>
      </c>
      <c r="Y32">
        <f t="shared" si="42"/>
        <v>15</v>
      </c>
      <c r="Z32">
        <f t="shared" si="42"/>
        <v>20</v>
      </c>
      <c r="AA32">
        <f t="shared" si="42"/>
        <v>25</v>
      </c>
      <c r="AB32">
        <f t="shared" si="42"/>
        <v>30</v>
      </c>
      <c r="AC32">
        <f t="shared" si="42"/>
        <v>35</v>
      </c>
      <c r="AD32">
        <f t="shared" si="42"/>
        <v>40</v>
      </c>
      <c r="AE32">
        <f t="shared" si="42"/>
        <v>45</v>
      </c>
      <c r="AF32">
        <f t="shared" si="42"/>
        <v>50</v>
      </c>
      <c r="AG32">
        <f t="shared" si="42"/>
        <v>55</v>
      </c>
      <c r="AH32">
        <f t="shared" si="42"/>
        <v>60</v>
      </c>
      <c r="AI32">
        <f t="shared" si="42"/>
        <v>65</v>
      </c>
      <c r="AJ32">
        <f t="shared" si="42"/>
        <v>70</v>
      </c>
      <c r="AK32">
        <f t="shared" si="42"/>
        <v>75</v>
      </c>
      <c r="AL32">
        <f t="shared" si="42"/>
        <v>80</v>
      </c>
      <c r="AM32">
        <f t="shared" si="42"/>
        <v>85</v>
      </c>
      <c r="AN32">
        <f t="shared" si="42"/>
        <v>90</v>
      </c>
      <c r="AO32">
        <f t="shared" si="42"/>
        <v>95</v>
      </c>
      <c r="AP32">
        <f t="shared" si="42"/>
        <v>100</v>
      </c>
      <c r="AQ32">
        <f t="shared" si="42"/>
        <v>105</v>
      </c>
    </row>
    <row r="33" spans="1:43" x14ac:dyDescent="0.25">
      <c r="A33" t="s">
        <v>15</v>
      </c>
      <c r="B33">
        <f t="shared" ref="B33:B40" si="43">CHOOSE(ctrl_OptionSelectionNumber,B49,B65)</f>
        <v>100</v>
      </c>
    </row>
    <row r="34" spans="1:43" x14ac:dyDescent="0.25">
      <c r="A34" t="s">
        <v>16</v>
      </c>
      <c r="B34">
        <f t="shared" si="43"/>
        <v>14.464846681027971</v>
      </c>
    </row>
    <row r="35" spans="1:43" x14ac:dyDescent="0.25">
      <c r="A35" t="s">
        <v>12</v>
      </c>
      <c r="B35">
        <f t="shared" si="43"/>
        <v>100</v>
      </c>
    </row>
    <row r="36" spans="1:43" x14ac:dyDescent="0.25">
      <c r="A36" t="s">
        <v>13</v>
      </c>
      <c r="B36">
        <f t="shared" si="43"/>
        <v>0.58123775373393827</v>
      </c>
    </row>
    <row r="37" spans="1:43" x14ac:dyDescent="0.25">
      <c r="A37" t="s">
        <v>17</v>
      </c>
      <c r="B37">
        <f t="shared" si="43"/>
        <v>60</v>
      </c>
      <c r="C37">
        <f t="shared" ref="C37:F38" si="44">CHOOSE(ctrl_OptionSelectionNumber,C53,C69)</f>
        <v>80</v>
      </c>
      <c r="D37">
        <f t="shared" si="44"/>
        <v>100</v>
      </c>
      <c r="E37">
        <f t="shared" si="44"/>
        <v>120</v>
      </c>
      <c r="F37">
        <f t="shared" si="44"/>
        <v>140</v>
      </c>
    </row>
    <row r="38" spans="1:43" x14ac:dyDescent="0.25">
      <c r="A38" t="s">
        <v>18</v>
      </c>
      <c r="B38">
        <f t="shared" si="43"/>
        <v>-8.7846634683295584</v>
      </c>
      <c r="C38">
        <f t="shared" si="44"/>
        <v>2.8400916063492065</v>
      </c>
      <c r="D38">
        <f t="shared" si="44"/>
        <v>14.464846681027971</v>
      </c>
      <c r="E38">
        <f t="shared" si="44"/>
        <v>26.089601755706738</v>
      </c>
      <c r="F38">
        <f t="shared" si="44"/>
        <v>37.714356830385505</v>
      </c>
    </row>
    <row r="39" spans="1:43" x14ac:dyDescent="0.25">
      <c r="A39" t="s">
        <v>19</v>
      </c>
      <c r="B39">
        <f t="shared" si="43"/>
        <v>100</v>
      </c>
    </row>
    <row r="40" spans="1:43" x14ac:dyDescent="0.25">
      <c r="A40" t="s">
        <v>20</v>
      </c>
      <c r="B40">
        <f t="shared" si="43"/>
        <v>1.1049026567333139E-2</v>
      </c>
    </row>
    <row r="43" spans="1:43" x14ac:dyDescent="0.25">
      <c r="A43" t="s">
        <v>8</v>
      </c>
    </row>
    <row r="44" spans="1:43" x14ac:dyDescent="0.25">
      <c r="A44" t="s">
        <v>0</v>
      </c>
      <c r="C44" s="2">
        <v>5</v>
      </c>
      <c r="D44" s="2">
        <f>C44+5</f>
        <v>10</v>
      </c>
      <c r="E44" s="2">
        <f t="shared" ref="E44:AQ44" si="45">D44+5</f>
        <v>15</v>
      </c>
      <c r="F44" s="2">
        <f t="shared" si="45"/>
        <v>20</v>
      </c>
      <c r="G44" s="2">
        <f t="shared" si="45"/>
        <v>25</v>
      </c>
      <c r="H44" s="2">
        <f t="shared" si="45"/>
        <v>30</v>
      </c>
      <c r="I44" s="2">
        <f t="shared" si="45"/>
        <v>35</v>
      </c>
      <c r="J44" s="2">
        <f t="shared" si="45"/>
        <v>40</v>
      </c>
      <c r="K44" s="2">
        <f t="shared" si="45"/>
        <v>45</v>
      </c>
      <c r="L44" s="2">
        <f t="shared" si="45"/>
        <v>50</v>
      </c>
      <c r="M44" s="2">
        <f t="shared" si="45"/>
        <v>55</v>
      </c>
      <c r="N44" s="2">
        <f t="shared" si="45"/>
        <v>60</v>
      </c>
      <c r="O44" s="2">
        <f t="shared" si="45"/>
        <v>65</v>
      </c>
      <c r="P44" s="2">
        <f t="shared" si="45"/>
        <v>70</v>
      </c>
      <c r="Q44" s="2">
        <f t="shared" si="45"/>
        <v>75</v>
      </c>
      <c r="R44" s="2">
        <f t="shared" si="45"/>
        <v>80</v>
      </c>
      <c r="S44" s="2">
        <f t="shared" si="45"/>
        <v>85</v>
      </c>
      <c r="T44" s="2">
        <f t="shared" si="45"/>
        <v>90</v>
      </c>
      <c r="U44" s="2">
        <f t="shared" si="45"/>
        <v>95</v>
      </c>
      <c r="V44" s="2">
        <f t="shared" si="45"/>
        <v>100</v>
      </c>
      <c r="W44" s="2">
        <f t="shared" si="45"/>
        <v>105</v>
      </c>
      <c r="X44" s="2">
        <f t="shared" si="45"/>
        <v>110</v>
      </c>
      <c r="Y44" s="2">
        <f t="shared" si="45"/>
        <v>115</v>
      </c>
      <c r="Z44" s="2">
        <f t="shared" si="45"/>
        <v>120</v>
      </c>
      <c r="AA44" s="2">
        <f t="shared" si="45"/>
        <v>125</v>
      </c>
      <c r="AB44" s="2">
        <f t="shared" si="45"/>
        <v>130</v>
      </c>
      <c r="AC44" s="2">
        <f t="shared" si="45"/>
        <v>135</v>
      </c>
      <c r="AD44" s="2">
        <f t="shared" si="45"/>
        <v>140</v>
      </c>
      <c r="AE44" s="2">
        <f t="shared" si="45"/>
        <v>145</v>
      </c>
      <c r="AF44" s="2">
        <f t="shared" si="45"/>
        <v>150</v>
      </c>
      <c r="AG44" s="2">
        <f t="shared" si="45"/>
        <v>155</v>
      </c>
      <c r="AH44" s="2">
        <f t="shared" si="45"/>
        <v>160</v>
      </c>
      <c r="AI44" s="2">
        <f t="shared" si="45"/>
        <v>165</v>
      </c>
      <c r="AJ44" s="2">
        <f t="shared" si="45"/>
        <v>170</v>
      </c>
      <c r="AK44" s="2">
        <f t="shared" si="45"/>
        <v>175</v>
      </c>
      <c r="AL44" s="2">
        <f t="shared" si="45"/>
        <v>180</v>
      </c>
      <c r="AM44" s="2">
        <f t="shared" si="45"/>
        <v>185</v>
      </c>
      <c r="AN44" s="2">
        <f t="shared" si="45"/>
        <v>190</v>
      </c>
      <c r="AO44" s="2">
        <f t="shared" si="45"/>
        <v>195</v>
      </c>
      <c r="AP44" s="2">
        <f t="shared" si="45"/>
        <v>200</v>
      </c>
      <c r="AQ44" s="2">
        <f t="shared" si="45"/>
        <v>205</v>
      </c>
    </row>
    <row r="45" spans="1:43" x14ac:dyDescent="0.25">
      <c r="A45" t="s">
        <v>9</v>
      </c>
      <c r="B45" s="2">
        <f>BSCall(B5,B6,B7,B8,B9,B10)</f>
        <v>14.464846681027971</v>
      </c>
      <c r="C45">
        <f t="dataTable" ref="C45:AQ47" dt2D="0" dtr="1" r1="B5" ca="1"/>
        <v>1.3589002609739596E-17</v>
      </c>
      <c r="D45">
        <v>7.2059541241284262E-11</v>
      </c>
      <c r="E45">
        <v>1.1131888671502308E-7</v>
      </c>
      <c r="F45">
        <v>9.5743397268901608E-6</v>
      </c>
      <c r="G45">
        <v>1.9828683587842224E-4</v>
      </c>
      <c r="H45">
        <v>1.800022118476248E-3</v>
      </c>
      <c r="I45">
        <v>9.6484923690645374E-3</v>
      </c>
      <c r="J45">
        <v>3.6102279775727053E-2</v>
      </c>
      <c r="K45">
        <v>0.10445237836281951</v>
      </c>
      <c r="L45">
        <v>0.24972977561571286</v>
      </c>
      <c r="M45">
        <v>0.51623709523355066</v>
      </c>
      <c r="N45">
        <v>0.95269825925976459</v>
      </c>
      <c r="O45">
        <v>1.6066435472313589</v>
      </c>
      <c r="P45">
        <v>2.5194849589353687</v>
      </c>
      <c r="Q45">
        <v>3.7231314063032102</v>
      </c>
      <c r="R45">
        <v>5.2383652765096897</v>
      </c>
      <c r="S45">
        <v>7.0747649699321116</v>
      </c>
      <c r="T45">
        <v>9.2317487491767025</v>
      </c>
      <c r="U45">
        <v>11.700280790623047</v>
      </c>
      <c r="V45">
        <v>14.464846681027971</v>
      </c>
      <c r="W45">
        <v>17.505411600828289</v>
      </c>
      <c r="X45">
        <v>20.799181236942566</v>
      </c>
      <c r="Y45">
        <v>24.322073854551952</v>
      </c>
      <c r="Z45">
        <v>28.049876001749297</v>
      </c>
      <c r="AA45">
        <v>31.959095450677609</v>
      </c>
      <c r="AB45">
        <v>36.027547763246574</v>
      </c>
      <c r="AC45">
        <v>40.234722521172671</v>
      </c>
      <c r="AD45">
        <v>44.561976402564866</v>
      </c>
      <c r="AE45">
        <v>48.992596511906441</v>
      </c>
      <c r="AF45">
        <v>53.511771214828045</v>
      </c>
      <c r="AG45">
        <v>58.10649884222687</v>
      </c>
      <c r="AH45">
        <v>62.765457986222813</v>
      </c>
      <c r="AI45">
        <v>67.478857219955501</v>
      </c>
      <c r="AJ45">
        <v>72.238277136218102</v>
      </c>
      <c r="AK45">
        <v>77.036513635066996</v>
      </c>
      <c r="AL45">
        <v>81.867428317210113</v>
      </c>
      <c r="AM45">
        <v>86.725809532676706</v>
      </c>
      <c r="AN45">
        <v>91.607245955720387</v>
      </c>
      <c r="AO45">
        <v>96.508013376442918</v>
      </c>
      <c r="AP45">
        <v>101.42497460217142</v>
      </c>
      <c r="AQ45">
        <v>106.35549185087586</v>
      </c>
    </row>
    <row r="46" spans="1:43" x14ac:dyDescent="0.25">
      <c r="A46" t="s">
        <v>10</v>
      </c>
      <c r="B46" s="2">
        <f>BSCallDelta(B5,B6,B7,B8,B9,B10)</f>
        <v>0.58123775373393827</v>
      </c>
      <c r="C46">
        <v>6.8027135948281686E-17</v>
      </c>
      <c r="D46">
        <v>1.4166738519277074E-10</v>
      </c>
      <c r="E46">
        <v>1.2294532575619976E-7</v>
      </c>
      <c r="F46">
        <v>6.8969361219096643E-6</v>
      </c>
      <c r="G46">
        <v>1.0121215719917911E-4</v>
      </c>
      <c r="H46">
        <v>6.8645075392856304E-4</v>
      </c>
      <c r="I46">
        <v>2.8523895970402062E-3</v>
      </c>
      <c r="J46">
        <v>8.502477244225936E-3</v>
      </c>
      <c r="K46">
        <v>2.0013999410793511E-2</v>
      </c>
      <c r="L46">
        <v>3.9590728332979275E-2</v>
      </c>
      <c r="M46">
        <v>6.865577324086139E-2</v>
      </c>
      <c r="N46">
        <v>0.1075298532460215</v>
      </c>
      <c r="O46">
        <v>0.1554400323053669</v>
      </c>
      <c r="P46">
        <v>0.21076545238840053</v>
      </c>
      <c r="Q46">
        <v>0.27138591470952389</v>
      </c>
      <c r="R46">
        <v>0.33502320752023174</v>
      </c>
      <c r="S46">
        <v>0.39951140194218965</v>
      </c>
      <c r="T46">
        <v>0.46297419432191567</v>
      </c>
      <c r="U46">
        <v>0.52391486382754549</v>
      </c>
      <c r="V46">
        <v>0.58123775373393827</v>
      </c>
      <c r="W46">
        <v>0.6342234855955422</v>
      </c>
      <c r="X46">
        <v>0.68247779994703861</v>
      </c>
      <c r="Y46">
        <v>0.7258693072553537</v>
      </c>
      <c r="Z46">
        <v>0.76446654472565923</v>
      </c>
      <c r="AA46">
        <v>0.79848055565156484</v>
      </c>
      <c r="AB46">
        <v>0.82821606602383713</v>
      </c>
      <c r="AC46">
        <v>0.85403219977077793</v>
      </c>
      <c r="AD46">
        <v>0.8763123679195326</v>
      </c>
      <c r="AE46">
        <v>0.8954422702235515</v>
      </c>
      <c r="AF46">
        <v>0.91179466273503795</v>
      </c>
      <c r="AG46">
        <v>0.92571951495780469</v>
      </c>
      <c r="AH46">
        <v>0.93753829246421283</v>
      </c>
      <c r="AI46">
        <v>0.94754127922462739</v>
      </c>
      <c r="AJ46">
        <v>0.95598705094478764</v>
      </c>
      <c r="AK46">
        <v>0.96310339930776989</v>
      </c>
      <c r="AL46">
        <v>0.96908917359946356</v>
      </c>
      <c r="AM46">
        <v>0.97411664568346534</v>
      </c>
      <c r="AN46">
        <v>0.97833411655564828</v>
      </c>
      <c r="AO46">
        <v>0.98186857021684593</v>
      </c>
      <c r="AP46">
        <v>0.98482824693457405</v>
      </c>
      <c r="AQ46">
        <v>0.98730505694276627</v>
      </c>
    </row>
    <row r="47" spans="1:43" x14ac:dyDescent="0.25">
      <c r="A47" t="s">
        <v>11</v>
      </c>
      <c r="B47" s="2">
        <f>BSGamma(B5,B6,B7,B8,B9,B10)</f>
        <v>1.1049026567333139E-2</v>
      </c>
      <c r="C47">
        <v>3.2270167786543202E-16</v>
      </c>
      <c r="D47">
        <v>2.5881154531670721E-10</v>
      </c>
      <c r="E47">
        <v>1.2384682459659189E-7</v>
      </c>
      <c r="F47">
        <v>4.4453025653140115E-6</v>
      </c>
      <c r="G47">
        <v>4.5294901545462908E-5</v>
      </c>
      <c r="H47">
        <v>2.2456665923846592E-4</v>
      </c>
      <c r="I47">
        <v>7.0649109239612163E-4</v>
      </c>
      <c r="J47">
        <v>1.6351374461124762E-3</v>
      </c>
      <c r="K47">
        <v>3.045077422592332E-3</v>
      </c>
      <c r="L47">
        <v>4.8341379544666547E-3</v>
      </c>
      <c r="M47">
        <v>6.8024883150701113E-3</v>
      </c>
      <c r="N47">
        <v>8.720491008029508E-3</v>
      </c>
      <c r="O47">
        <v>1.0388336172197105E-2</v>
      </c>
      <c r="P47">
        <v>1.1669991051671866E-2</v>
      </c>
      <c r="Q47">
        <v>1.2501343341605527E-2</v>
      </c>
      <c r="R47">
        <v>1.2880788834730083E-2</v>
      </c>
      <c r="S47">
        <v>1.2851655419388356E-2</v>
      </c>
      <c r="T47">
        <v>1.2483510236337937E-2</v>
      </c>
      <c r="U47">
        <v>1.1856327929773983E-2</v>
      </c>
      <c r="V47">
        <v>1.1049026567333139E-2</v>
      </c>
      <c r="W47">
        <v>1.0132336576682961E-2</v>
      </c>
      <c r="X47">
        <v>9.1652221966572155E-3</v>
      </c>
      <c r="Y47">
        <v>8.1938580844753365E-3</v>
      </c>
      <c r="Z47">
        <v>7.2522348069915281E-3</v>
      </c>
      <c r="AA47">
        <v>6.363657823950433E-3</v>
      </c>
      <c r="AB47">
        <v>5.5426169545465618E-3</v>
      </c>
      <c r="AC47">
        <v>4.7966895788988852E-3</v>
      </c>
      <c r="AD47">
        <v>4.1282844476623875E-3</v>
      </c>
      <c r="AE47">
        <v>3.5361338783781444E-3</v>
      </c>
      <c r="AF47">
        <v>3.0165073160682491E-3</v>
      </c>
      <c r="AG47">
        <v>2.5641575953539576E-3</v>
      </c>
      <c r="AH47">
        <v>2.1730309635802753E-3</v>
      </c>
      <c r="AI47">
        <v>1.8367795981311769E-3</v>
      </c>
      <c r="AJ47">
        <v>1.5491158218441515E-3</v>
      </c>
      <c r="AK47">
        <v>1.3040438174318936E-3</v>
      </c>
      <c r="AL47">
        <v>1.0959995153610677E-3</v>
      </c>
      <c r="AM47">
        <v>9.1992377898117992E-4</v>
      </c>
      <c r="AN47">
        <v>7.7128875587053898E-4</v>
      </c>
      <c r="AO47">
        <v>6.4609265186804795E-4</v>
      </c>
      <c r="AP47">
        <v>5.4083433319651543E-4</v>
      </c>
      <c r="AQ47">
        <v>4.5247606282820731E-4</v>
      </c>
    </row>
    <row r="48" spans="1:43" x14ac:dyDescent="0.25">
      <c r="A48" t="s">
        <v>14</v>
      </c>
      <c r="B48" s="2"/>
      <c r="C48" s="2">
        <f>MAX(C44-$B$9, 0)</f>
        <v>0</v>
      </c>
      <c r="D48" s="2">
        <f t="shared" ref="D48:AQ48" si="46">MAX(D44-$B$9, 0)</f>
        <v>0</v>
      </c>
      <c r="E48" s="2">
        <f t="shared" si="46"/>
        <v>0</v>
      </c>
      <c r="F48" s="2">
        <f t="shared" si="46"/>
        <v>0</v>
      </c>
      <c r="G48" s="2">
        <f t="shared" si="46"/>
        <v>0</v>
      </c>
      <c r="H48" s="2">
        <f t="shared" si="46"/>
        <v>0</v>
      </c>
      <c r="I48" s="2">
        <f t="shared" si="46"/>
        <v>0</v>
      </c>
      <c r="J48" s="2">
        <f t="shared" si="46"/>
        <v>0</v>
      </c>
      <c r="K48" s="2">
        <f t="shared" si="46"/>
        <v>0</v>
      </c>
      <c r="L48" s="2">
        <f t="shared" si="46"/>
        <v>0</v>
      </c>
      <c r="M48" s="2">
        <f t="shared" si="46"/>
        <v>0</v>
      </c>
      <c r="N48" s="2">
        <f t="shared" si="46"/>
        <v>0</v>
      </c>
      <c r="O48" s="2">
        <f t="shared" si="46"/>
        <v>0</v>
      </c>
      <c r="P48" s="2">
        <f t="shared" si="46"/>
        <v>0</v>
      </c>
      <c r="Q48" s="2">
        <f t="shared" si="46"/>
        <v>0</v>
      </c>
      <c r="R48" s="2">
        <f t="shared" si="46"/>
        <v>0</v>
      </c>
      <c r="S48" s="2">
        <f t="shared" si="46"/>
        <v>0</v>
      </c>
      <c r="T48" s="2">
        <f t="shared" si="46"/>
        <v>0</v>
      </c>
      <c r="U48" s="2">
        <f t="shared" si="46"/>
        <v>0</v>
      </c>
      <c r="V48" s="2">
        <f t="shared" si="46"/>
        <v>0</v>
      </c>
      <c r="W48" s="2">
        <f t="shared" si="46"/>
        <v>5</v>
      </c>
      <c r="X48" s="2">
        <f t="shared" si="46"/>
        <v>10</v>
      </c>
      <c r="Y48" s="2">
        <f t="shared" si="46"/>
        <v>15</v>
      </c>
      <c r="Z48" s="2">
        <f t="shared" si="46"/>
        <v>20</v>
      </c>
      <c r="AA48" s="2">
        <f t="shared" si="46"/>
        <v>25</v>
      </c>
      <c r="AB48" s="2">
        <f t="shared" si="46"/>
        <v>30</v>
      </c>
      <c r="AC48" s="2">
        <f t="shared" si="46"/>
        <v>35</v>
      </c>
      <c r="AD48" s="2">
        <f t="shared" si="46"/>
        <v>40</v>
      </c>
      <c r="AE48" s="2">
        <f t="shared" si="46"/>
        <v>45</v>
      </c>
      <c r="AF48" s="2">
        <f t="shared" si="46"/>
        <v>50</v>
      </c>
      <c r="AG48" s="2">
        <f t="shared" si="46"/>
        <v>55</v>
      </c>
      <c r="AH48" s="2">
        <f t="shared" si="46"/>
        <v>60</v>
      </c>
      <c r="AI48" s="2">
        <f t="shared" si="46"/>
        <v>65</v>
      </c>
      <c r="AJ48" s="2">
        <f t="shared" si="46"/>
        <v>70</v>
      </c>
      <c r="AK48" s="2">
        <f t="shared" si="46"/>
        <v>75</v>
      </c>
      <c r="AL48" s="2">
        <f t="shared" si="46"/>
        <v>80</v>
      </c>
      <c r="AM48" s="2">
        <f t="shared" si="46"/>
        <v>85</v>
      </c>
      <c r="AN48" s="2">
        <f t="shared" si="46"/>
        <v>90</v>
      </c>
      <c r="AO48" s="2">
        <f t="shared" si="46"/>
        <v>95</v>
      </c>
      <c r="AP48" s="2">
        <f t="shared" si="46"/>
        <v>100</v>
      </c>
      <c r="AQ48" s="2">
        <f t="shared" si="46"/>
        <v>105</v>
      </c>
    </row>
    <row r="49" spans="1:43" x14ac:dyDescent="0.25">
      <c r="A49" t="s">
        <v>15</v>
      </c>
      <c r="B49" s="2">
        <f>B5</f>
        <v>100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</row>
    <row r="50" spans="1:43" x14ac:dyDescent="0.25">
      <c r="A50" t="s">
        <v>16</v>
      </c>
      <c r="B50" s="2">
        <f>BSCall(B5,B6,B7,B8,B9,B10)</f>
        <v>14.464846681027971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</row>
    <row r="51" spans="1:43" x14ac:dyDescent="0.25">
      <c r="A51" t="s">
        <v>12</v>
      </c>
      <c r="B51" s="2">
        <f>B5</f>
        <v>100</v>
      </c>
    </row>
    <row r="52" spans="1:43" x14ac:dyDescent="0.25">
      <c r="A52" t="s">
        <v>13</v>
      </c>
      <c r="B52">
        <f>BSCallDelta(B5,B6,B7,B8,B9,B10)</f>
        <v>0.58123775373393827</v>
      </c>
    </row>
    <row r="53" spans="1:43" x14ac:dyDescent="0.25">
      <c r="A53" t="s">
        <v>17</v>
      </c>
      <c r="B53" s="2">
        <f>D53-40</f>
        <v>60</v>
      </c>
      <c r="C53" s="2">
        <f>D53-20</f>
        <v>80</v>
      </c>
      <c r="D53" s="2">
        <f>B51</f>
        <v>100</v>
      </c>
      <c r="E53" s="2">
        <f>D53+20</f>
        <v>120</v>
      </c>
      <c r="F53" s="2">
        <f>D53 + 40</f>
        <v>140</v>
      </c>
    </row>
    <row r="54" spans="1:43" x14ac:dyDescent="0.25">
      <c r="A54" t="s">
        <v>18</v>
      </c>
      <c r="B54">
        <f>C54+(B53-C53)*$B$52</f>
        <v>-8.7846634683295584</v>
      </c>
      <c r="C54">
        <f>D54+(C53-D53)*$B$52</f>
        <v>2.8400916063492065</v>
      </c>
      <c r="D54" s="2">
        <f>B50</f>
        <v>14.464846681027971</v>
      </c>
      <c r="E54">
        <f>D54+(E53-D53)*$B$52</f>
        <v>26.089601755706738</v>
      </c>
      <c r="F54">
        <f>E54+(F53-E53)*$B$52</f>
        <v>37.714356830385505</v>
      </c>
    </row>
    <row r="55" spans="1:43" x14ac:dyDescent="0.25">
      <c r="A55" t="s">
        <v>19</v>
      </c>
      <c r="B55" s="2">
        <f>B5</f>
        <v>100</v>
      </c>
    </row>
    <row r="56" spans="1:43" x14ac:dyDescent="0.25">
      <c r="A56" t="s">
        <v>20</v>
      </c>
      <c r="B56">
        <f>BSGamma(B5,B6,B7,B8,B9,B10)</f>
        <v>1.1049026567333139E-2</v>
      </c>
    </row>
    <row r="59" spans="1:43" x14ac:dyDescent="0.25">
      <c r="A59" t="s">
        <v>21</v>
      </c>
    </row>
    <row r="60" spans="1:43" x14ac:dyDescent="0.25">
      <c r="A60" t="s">
        <v>0</v>
      </c>
      <c r="C60" s="2">
        <v>5</v>
      </c>
      <c r="D60" s="2">
        <f>C60+5</f>
        <v>10</v>
      </c>
      <c r="E60" s="2">
        <f t="shared" ref="E60:AQ60" si="47">D60+5</f>
        <v>15</v>
      </c>
      <c r="F60" s="2">
        <f t="shared" si="47"/>
        <v>20</v>
      </c>
      <c r="G60" s="2">
        <f t="shared" si="47"/>
        <v>25</v>
      </c>
      <c r="H60" s="2">
        <f t="shared" si="47"/>
        <v>30</v>
      </c>
      <c r="I60" s="2">
        <f t="shared" si="47"/>
        <v>35</v>
      </c>
      <c r="J60" s="2">
        <f t="shared" si="47"/>
        <v>40</v>
      </c>
      <c r="K60" s="2">
        <f t="shared" si="47"/>
        <v>45</v>
      </c>
      <c r="L60" s="2">
        <f t="shared" si="47"/>
        <v>50</v>
      </c>
      <c r="M60" s="2">
        <f t="shared" si="47"/>
        <v>55</v>
      </c>
      <c r="N60" s="2">
        <f t="shared" si="47"/>
        <v>60</v>
      </c>
      <c r="O60" s="2">
        <f t="shared" si="47"/>
        <v>65</v>
      </c>
      <c r="P60" s="2">
        <f t="shared" si="47"/>
        <v>70</v>
      </c>
      <c r="Q60" s="2">
        <f t="shared" si="47"/>
        <v>75</v>
      </c>
      <c r="R60" s="2">
        <f t="shared" si="47"/>
        <v>80</v>
      </c>
      <c r="S60" s="2">
        <f t="shared" si="47"/>
        <v>85</v>
      </c>
      <c r="T60" s="2">
        <f t="shared" si="47"/>
        <v>90</v>
      </c>
      <c r="U60" s="2">
        <f t="shared" si="47"/>
        <v>95</v>
      </c>
      <c r="V60" s="2">
        <f t="shared" si="47"/>
        <v>100</v>
      </c>
      <c r="W60" s="2">
        <f t="shared" si="47"/>
        <v>105</v>
      </c>
      <c r="X60" s="2">
        <f t="shared" si="47"/>
        <v>110</v>
      </c>
      <c r="Y60" s="2">
        <f t="shared" si="47"/>
        <v>115</v>
      </c>
      <c r="Z60" s="2">
        <f t="shared" si="47"/>
        <v>120</v>
      </c>
      <c r="AA60" s="2">
        <f t="shared" si="47"/>
        <v>125</v>
      </c>
      <c r="AB60" s="2">
        <f t="shared" si="47"/>
        <v>130</v>
      </c>
      <c r="AC60" s="2">
        <f t="shared" si="47"/>
        <v>135</v>
      </c>
      <c r="AD60" s="2">
        <f t="shared" si="47"/>
        <v>140</v>
      </c>
      <c r="AE60" s="2">
        <f t="shared" si="47"/>
        <v>145</v>
      </c>
      <c r="AF60" s="2">
        <f t="shared" si="47"/>
        <v>150</v>
      </c>
      <c r="AG60" s="2">
        <f t="shared" si="47"/>
        <v>155</v>
      </c>
      <c r="AH60" s="2">
        <f t="shared" si="47"/>
        <v>160</v>
      </c>
      <c r="AI60" s="2">
        <f t="shared" si="47"/>
        <v>165</v>
      </c>
      <c r="AJ60" s="2">
        <f t="shared" si="47"/>
        <v>170</v>
      </c>
      <c r="AK60" s="2">
        <f t="shared" si="47"/>
        <v>175</v>
      </c>
      <c r="AL60" s="2">
        <f t="shared" si="47"/>
        <v>180</v>
      </c>
      <c r="AM60" s="2">
        <f t="shared" si="47"/>
        <v>185</v>
      </c>
      <c r="AN60" s="2">
        <f t="shared" si="47"/>
        <v>190</v>
      </c>
      <c r="AO60" s="2">
        <f t="shared" si="47"/>
        <v>195</v>
      </c>
      <c r="AP60" s="2">
        <f t="shared" si="47"/>
        <v>200</v>
      </c>
      <c r="AQ60" s="2">
        <f t="shared" si="47"/>
        <v>205</v>
      </c>
    </row>
    <row r="61" spans="1:43" x14ac:dyDescent="0.25">
      <c r="A61" t="s">
        <v>22</v>
      </c>
      <c r="B61" s="2">
        <f>BSPut(B5,B6,B7,B8,B9,B10)</f>
        <v>13.469830055944783</v>
      </c>
      <c r="C61">
        <f t="dataTable" ref="C61:AQ63" dt2D="0" dtr="1" r1="B5"/>
        <v>94.004983374916804</v>
      </c>
      <c r="D61">
        <v>89.004983374988868</v>
      </c>
      <c r="E61">
        <v>84.004983486235687</v>
      </c>
      <c r="F61">
        <v>79.004992949256533</v>
      </c>
      <c r="G61">
        <v>74.005181661752687</v>
      </c>
      <c r="H61">
        <v>69.006783397035278</v>
      </c>
      <c r="I61">
        <v>64.014631867285871</v>
      </c>
      <c r="J61">
        <v>59.04108565469253</v>
      </c>
      <c r="K61">
        <v>54.109435753279627</v>
      </c>
      <c r="L61">
        <v>49.254713150532517</v>
      </c>
      <c r="M61">
        <v>44.521220470150354</v>
      </c>
      <c r="N61">
        <v>39.957681634176566</v>
      </c>
      <c r="O61">
        <v>35.611626922148162</v>
      </c>
      <c r="P61">
        <v>31.52446833385217</v>
      </c>
      <c r="Q61">
        <v>27.728114781220015</v>
      </c>
      <c r="R61">
        <v>24.243348651426487</v>
      </c>
      <c r="S61">
        <v>21.079748344848923</v>
      </c>
      <c r="T61">
        <v>18.236732124093507</v>
      </c>
      <c r="U61">
        <v>15.705264165539859</v>
      </c>
      <c r="V61">
        <v>13.469830055944783</v>
      </c>
      <c r="W61">
        <v>11.510394975745101</v>
      </c>
      <c r="X61">
        <v>9.8041646118593633</v>
      </c>
      <c r="Y61">
        <v>8.3270572294687497</v>
      </c>
      <c r="Z61">
        <v>7.0548593766661014</v>
      </c>
      <c r="AA61">
        <v>5.964078825594413</v>
      </c>
      <c r="AB61">
        <v>5.0325311381633782</v>
      </c>
      <c r="AC61">
        <v>4.2397058960894753</v>
      </c>
      <c r="AD61">
        <v>3.5669597774816708</v>
      </c>
      <c r="AE61">
        <v>2.9975798868232459</v>
      </c>
      <c r="AF61">
        <v>2.5167545897448491</v>
      </c>
      <c r="AG61">
        <v>2.1114822171436742</v>
      </c>
      <c r="AH61">
        <v>1.7704413611396177</v>
      </c>
      <c r="AI61">
        <v>1.483840594872305</v>
      </c>
      <c r="AJ61">
        <v>1.2432605111349062</v>
      </c>
      <c r="AK61">
        <v>1.0414970099838001</v>
      </c>
      <c r="AL61">
        <v>0.87241169212691716</v>
      </c>
      <c r="AM61">
        <v>0.73079290759351068</v>
      </c>
      <c r="AN61">
        <v>0.61222933063719154</v>
      </c>
      <c r="AO61">
        <v>0.51299675135972223</v>
      </c>
      <c r="AP61">
        <v>0.42995797708822181</v>
      </c>
      <c r="AQ61">
        <v>0.36047522579266911</v>
      </c>
    </row>
    <row r="62" spans="1:43" x14ac:dyDescent="0.25">
      <c r="A62" t="s">
        <v>23</v>
      </c>
      <c r="B62" s="2">
        <f>BSPutDelta(B5,B6,B7,B8,B9,B10)</f>
        <v>-0.41876224626606173</v>
      </c>
      <c r="C62">
        <v>-0.99999999999999989</v>
      </c>
      <c r="D62">
        <v>-0.99999999985833266</v>
      </c>
      <c r="E62">
        <v>-0.99999987705467419</v>
      </c>
      <c r="F62">
        <v>-0.99999310306387812</v>
      </c>
      <c r="G62">
        <v>-0.99989878784280084</v>
      </c>
      <c r="H62">
        <v>-0.99931354924607141</v>
      </c>
      <c r="I62">
        <v>-0.99714761040295974</v>
      </c>
      <c r="J62">
        <v>-0.99149752275577407</v>
      </c>
      <c r="K62">
        <v>-0.97998600058920649</v>
      </c>
      <c r="L62">
        <v>-0.96040927166702073</v>
      </c>
      <c r="M62">
        <v>-0.93134422675913864</v>
      </c>
      <c r="N62">
        <v>-0.89247014675397851</v>
      </c>
      <c r="O62">
        <v>-0.84455996769463315</v>
      </c>
      <c r="P62">
        <v>-0.7892345476115995</v>
      </c>
      <c r="Q62">
        <v>-0.72861408529047611</v>
      </c>
      <c r="R62">
        <v>-0.66497679247976826</v>
      </c>
      <c r="S62">
        <v>-0.6004885980578103</v>
      </c>
      <c r="T62">
        <v>-0.53702580567808433</v>
      </c>
      <c r="U62">
        <v>-0.47608513617245451</v>
      </c>
      <c r="V62">
        <v>-0.41876224626606173</v>
      </c>
      <c r="W62">
        <v>-0.3657765144044578</v>
      </c>
      <c r="X62">
        <v>-0.31752220005296139</v>
      </c>
      <c r="Y62">
        <v>-0.2741306927446463</v>
      </c>
      <c r="Z62">
        <v>-0.23553345527434077</v>
      </c>
      <c r="AA62">
        <v>-0.20151944434843516</v>
      </c>
      <c r="AB62">
        <v>-0.17178393397616287</v>
      </c>
      <c r="AC62">
        <v>-0.14596780022922207</v>
      </c>
      <c r="AD62">
        <v>-0.1236876320804674</v>
      </c>
      <c r="AE62">
        <v>-0.1045577297764485</v>
      </c>
      <c r="AF62">
        <v>-8.8205337264962047E-2</v>
      </c>
      <c r="AG62">
        <v>-7.428048504219531E-2</v>
      </c>
      <c r="AH62">
        <v>-6.246170753578717E-2</v>
      </c>
      <c r="AI62">
        <v>-5.2458720775372614E-2</v>
      </c>
      <c r="AJ62">
        <v>-4.4012949055212358E-2</v>
      </c>
      <c r="AK62">
        <v>-3.6896600692230108E-2</v>
      </c>
      <c r="AL62">
        <v>-3.091082640053644E-2</v>
      </c>
      <c r="AM62">
        <v>-2.5883354316534657E-2</v>
      </c>
      <c r="AN62">
        <v>-2.1665883444351719E-2</v>
      </c>
      <c r="AO62">
        <v>-1.8131429783154074E-2</v>
      </c>
      <c r="AP62">
        <v>-1.5171753065425952E-2</v>
      </c>
      <c r="AQ62">
        <v>-1.2694943057233732E-2</v>
      </c>
    </row>
    <row r="63" spans="1:43" x14ac:dyDescent="0.25">
      <c r="A63" t="s">
        <v>24</v>
      </c>
      <c r="B63" s="2">
        <f>BSGamma(B5,B6,B7,B8,B9,B10)</f>
        <v>1.1049026567333139E-2</v>
      </c>
      <c r="C63">
        <v>3.2270167786543202E-16</v>
      </c>
      <c r="D63">
        <v>2.5881154531670721E-10</v>
      </c>
      <c r="E63">
        <v>1.2384682459659189E-7</v>
      </c>
      <c r="F63">
        <v>4.4453025653140115E-6</v>
      </c>
      <c r="G63">
        <v>4.5294901545462908E-5</v>
      </c>
      <c r="H63">
        <v>2.2456665923846592E-4</v>
      </c>
      <c r="I63">
        <v>7.0649109239612163E-4</v>
      </c>
      <c r="J63">
        <v>1.6351374461124762E-3</v>
      </c>
      <c r="K63">
        <v>3.045077422592332E-3</v>
      </c>
      <c r="L63">
        <v>4.8341379544666547E-3</v>
      </c>
      <c r="M63">
        <v>6.8024883150701113E-3</v>
      </c>
      <c r="N63">
        <v>8.720491008029508E-3</v>
      </c>
      <c r="O63">
        <v>1.0388336172197105E-2</v>
      </c>
      <c r="P63">
        <v>1.1669991051671866E-2</v>
      </c>
      <c r="Q63">
        <v>1.2501343341605527E-2</v>
      </c>
      <c r="R63">
        <v>1.2880788834730083E-2</v>
      </c>
      <c r="S63">
        <v>1.2851655419388356E-2</v>
      </c>
      <c r="T63">
        <v>1.2483510236337937E-2</v>
      </c>
      <c r="U63">
        <v>1.1856327929773983E-2</v>
      </c>
      <c r="V63">
        <v>1.1049026567333139E-2</v>
      </c>
      <c r="W63">
        <v>1.0132336576682961E-2</v>
      </c>
      <c r="X63">
        <v>9.1652221966572155E-3</v>
      </c>
      <c r="Y63">
        <v>8.1938580844753365E-3</v>
      </c>
      <c r="Z63">
        <v>7.2522348069915281E-3</v>
      </c>
      <c r="AA63">
        <v>6.363657823950433E-3</v>
      </c>
      <c r="AB63">
        <v>5.5426169545465618E-3</v>
      </c>
      <c r="AC63">
        <v>4.7966895788988852E-3</v>
      </c>
      <c r="AD63">
        <v>4.1282844476623875E-3</v>
      </c>
      <c r="AE63">
        <v>3.5361338783781444E-3</v>
      </c>
      <c r="AF63">
        <v>3.0165073160682491E-3</v>
      </c>
      <c r="AG63">
        <v>2.5641575953539576E-3</v>
      </c>
      <c r="AH63">
        <v>2.1730309635802753E-3</v>
      </c>
      <c r="AI63">
        <v>1.8367795981311769E-3</v>
      </c>
      <c r="AJ63">
        <v>1.5491158218441515E-3</v>
      </c>
      <c r="AK63">
        <v>1.3040438174318936E-3</v>
      </c>
      <c r="AL63">
        <v>1.0959995153610677E-3</v>
      </c>
      <c r="AM63">
        <v>9.1992377898117992E-4</v>
      </c>
      <c r="AN63">
        <v>7.7128875587053898E-4</v>
      </c>
      <c r="AO63">
        <v>6.4609265186804795E-4</v>
      </c>
      <c r="AP63">
        <v>5.4083433319651543E-4</v>
      </c>
      <c r="AQ63">
        <v>4.5247606282820731E-4</v>
      </c>
    </row>
    <row r="64" spans="1:43" x14ac:dyDescent="0.25">
      <c r="A64" t="s">
        <v>14</v>
      </c>
      <c r="B64" s="2"/>
      <c r="C64" s="2">
        <f>MAX($B$9-C60, 0)</f>
        <v>95</v>
      </c>
      <c r="D64" s="2">
        <f t="shared" ref="D64:AQ64" si="48">MAX($B$9-D60, 0)</f>
        <v>90</v>
      </c>
      <c r="E64" s="2">
        <f t="shared" si="48"/>
        <v>85</v>
      </c>
      <c r="F64" s="2">
        <f t="shared" si="48"/>
        <v>80</v>
      </c>
      <c r="G64" s="2">
        <f t="shared" si="48"/>
        <v>75</v>
      </c>
      <c r="H64" s="2">
        <f t="shared" si="48"/>
        <v>70</v>
      </c>
      <c r="I64" s="2">
        <f t="shared" si="48"/>
        <v>65</v>
      </c>
      <c r="J64" s="2">
        <f t="shared" si="48"/>
        <v>60</v>
      </c>
      <c r="K64" s="2">
        <f t="shared" si="48"/>
        <v>55</v>
      </c>
      <c r="L64" s="2">
        <f t="shared" si="48"/>
        <v>50</v>
      </c>
      <c r="M64" s="2">
        <f t="shared" si="48"/>
        <v>45</v>
      </c>
      <c r="N64" s="2">
        <f t="shared" si="48"/>
        <v>40</v>
      </c>
      <c r="O64" s="2">
        <f t="shared" si="48"/>
        <v>35</v>
      </c>
      <c r="P64" s="2">
        <f t="shared" si="48"/>
        <v>30</v>
      </c>
      <c r="Q64" s="2">
        <f t="shared" si="48"/>
        <v>25</v>
      </c>
      <c r="R64" s="2">
        <f t="shared" si="48"/>
        <v>20</v>
      </c>
      <c r="S64" s="2">
        <f t="shared" si="48"/>
        <v>15</v>
      </c>
      <c r="T64" s="2">
        <f t="shared" si="48"/>
        <v>10</v>
      </c>
      <c r="U64" s="2">
        <f t="shared" si="48"/>
        <v>5</v>
      </c>
      <c r="V64" s="2">
        <f t="shared" si="48"/>
        <v>0</v>
      </c>
      <c r="W64" s="2">
        <f t="shared" si="48"/>
        <v>0</v>
      </c>
      <c r="X64" s="2">
        <f t="shared" si="48"/>
        <v>0</v>
      </c>
      <c r="Y64" s="2">
        <f t="shared" si="48"/>
        <v>0</v>
      </c>
      <c r="Z64" s="2">
        <f t="shared" si="48"/>
        <v>0</v>
      </c>
      <c r="AA64" s="2">
        <f t="shared" si="48"/>
        <v>0</v>
      </c>
      <c r="AB64" s="2">
        <f t="shared" si="48"/>
        <v>0</v>
      </c>
      <c r="AC64" s="2">
        <f t="shared" si="48"/>
        <v>0</v>
      </c>
      <c r="AD64" s="2">
        <f t="shared" si="48"/>
        <v>0</v>
      </c>
      <c r="AE64" s="2">
        <f t="shared" si="48"/>
        <v>0</v>
      </c>
      <c r="AF64" s="2">
        <f t="shared" si="48"/>
        <v>0</v>
      </c>
      <c r="AG64" s="2">
        <f t="shared" si="48"/>
        <v>0</v>
      </c>
      <c r="AH64" s="2">
        <f t="shared" si="48"/>
        <v>0</v>
      </c>
      <c r="AI64" s="2">
        <f t="shared" si="48"/>
        <v>0</v>
      </c>
      <c r="AJ64" s="2">
        <f t="shared" si="48"/>
        <v>0</v>
      </c>
      <c r="AK64" s="2">
        <f t="shared" si="48"/>
        <v>0</v>
      </c>
      <c r="AL64" s="2">
        <f t="shared" si="48"/>
        <v>0</v>
      </c>
      <c r="AM64" s="2">
        <f t="shared" si="48"/>
        <v>0</v>
      </c>
      <c r="AN64" s="2">
        <f t="shared" si="48"/>
        <v>0</v>
      </c>
      <c r="AO64" s="2">
        <f t="shared" si="48"/>
        <v>0</v>
      </c>
      <c r="AP64" s="2">
        <f t="shared" si="48"/>
        <v>0</v>
      </c>
      <c r="AQ64" s="2">
        <f t="shared" si="48"/>
        <v>0</v>
      </c>
    </row>
    <row r="65" spans="1:43" x14ac:dyDescent="0.25">
      <c r="A65" t="s">
        <v>15</v>
      </c>
      <c r="B65" s="2">
        <f>B5</f>
        <v>100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x14ac:dyDescent="0.25">
      <c r="A66" t="s">
        <v>16</v>
      </c>
      <c r="B66" s="2">
        <f>BSPut(B5,B6,B7,B8,B9,B10)</f>
        <v>13.469830055944783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x14ac:dyDescent="0.25">
      <c r="A67" t="s">
        <v>12</v>
      </c>
      <c r="B67" s="2">
        <f>B5</f>
        <v>100</v>
      </c>
    </row>
    <row r="68" spans="1:43" x14ac:dyDescent="0.25">
      <c r="A68" t="s">
        <v>13</v>
      </c>
      <c r="B68">
        <f>BSPutDelta(B5,B6,B7,B8,B9,B10)</f>
        <v>-0.41876224626606173</v>
      </c>
    </row>
    <row r="69" spans="1:43" x14ac:dyDescent="0.25">
      <c r="A69" t="s">
        <v>17</v>
      </c>
      <c r="B69" s="2">
        <f>D69-40</f>
        <v>60</v>
      </c>
      <c r="C69" s="2">
        <f>D69-20</f>
        <v>80</v>
      </c>
      <c r="D69" s="2">
        <f>B67</f>
        <v>100</v>
      </c>
      <c r="E69" s="2">
        <f>D69+20</f>
        <v>120</v>
      </c>
      <c r="F69" s="2">
        <f>D69 + 40</f>
        <v>140</v>
      </c>
    </row>
    <row r="70" spans="1:43" x14ac:dyDescent="0.25">
      <c r="A70" t="s">
        <v>18</v>
      </c>
      <c r="B70">
        <f>C70+(B69-C69)*$B$68</f>
        <v>30.22031990658725</v>
      </c>
      <c r="C70">
        <f>D70+(C69-D69)*$B$68</f>
        <v>21.845074981266016</v>
      </c>
      <c r="D70" s="2">
        <f>B66</f>
        <v>13.469830055944783</v>
      </c>
      <c r="E70">
        <f>D70+(E69-D69)*$B$68</f>
        <v>5.0945851306235479</v>
      </c>
      <c r="F70">
        <f>E70+(F69-E69)*$B$68</f>
        <v>-3.2806597946976872</v>
      </c>
    </row>
    <row r="71" spans="1:43" x14ac:dyDescent="0.25">
      <c r="A71" t="s">
        <v>19</v>
      </c>
      <c r="B71" s="2">
        <f>B5</f>
        <v>100</v>
      </c>
    </row>
    <row r="72" spans="1:43" x14ac:dyDescent="0.25">
      <c r="A72" t="s">
        <v>20</v>
      </c>
      <c r="B72">
        <f>BSGamma(B5,B6,B7,B8,B9,B10)</f>
        <v>1.1049026567333139E-2</v>
      </c>
    </row>
  </sheetData>
  <mergeCells count="1">
    <mergeCell ref="A4:B4"/>
  </mergeCells>
  <dataValidations count="1">
    <dataValidation type="list" allowBlank="1" showInputMessage="1" showErrorMessage="1" sqref="B2" xr:uid="{00000000-0002-0000-0000-000000000000}">
      <formula1>list_OptionSelection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6"/>
  <sheetViews>
    <sheetView tabSelected="1" workbookViewId="0">
      <selection sqref="A1:A6"/>
    </sheetView>
  </sheetViews>
  <sheetFormatPr defaultRowHeight="15" x14ac:dyDescent="0.25"/>
  <cols>
    <col min="1" max="1" width="19.42578125" bestFit="1" customWidth="1"/>
  </cols>
  <sheetData>
    <row r="1" spans="1:1" x14ac:dyDescent="0.25">
      <c r="A1" t="s">
        <v>32</v>
      </c>
    </row>
    <row r="2" spans="1:1" x14ac:dyDescent="0.25">
      <c r="A2" t="s">
        <v>8</v>
      </c>
    </row>
    <row r="3" spans="1:1" x14ac:dyDescent="0.25">
      <c r="A3" t="s">
        <v>21</v>
      </c>
    </row>
    <row r="5" spans="1:1" x14ac:dyDescent="0.25">
      <c r="A5" t="s">
        <v>33</v>
      </c>
    </row>
    <row r="6" spans="1:1" x14ac:dyDescent="0.25">
      <c r="A6">
        <f>MATCH(inputs_OptionSelection,list_OptionSelection,0)</f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Black-Scholes Option Pricing</vt:lpstr>
      <vt:lpstr>Hidden</vt:lpstr>
      <vt:lpstr>Sheet3</vt:lpstr>
      <vt:lpstr>ctrl_OptionSelectionNumber</vt:lpstr>
      <vt:lpstr>inputs_OptionSelection</vt:lpstr>
      <vt:lpstr>list_OptionSelection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Shockley, Richard</dc:creator>
  <cp:lastModifiedBy>Timothy Newton</cp:lastModifiedBy>
  <dcterms:created xsi:type="dcterms:W3CDTF">2014-09-13T21:37:47Z</dcterms:created>
  <dcterms:modified xsi:type="dcterms:W3CDTF">2019-12-10T19:49:22Z</dcterms:modified>
</cp:coreProperties>
</file>